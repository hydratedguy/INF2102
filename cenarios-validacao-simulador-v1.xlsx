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andre\Downloads\"/>
    </mc:Choice>
  </mc:AlternateContent>
  <xr:revisionPtr revIDLastSave="0" documentId="13_ncr:1_{A7966315-B07F-473F-B063-E0271CBA5B5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enários" sheetId="1" r:id="rId1"/>
    <sheet name="ICMS" sheetId="4" r:id="rId2"/>
    <sheet name="Premissas" sheetId="2" r:id="rId3"/>
    <sheet name="Funcionalidades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5" i="1" l="1"/>
  <c r="V6" i="1"/>
  <c r="V4" i="1"/>
  <c r="T4" i="1"/>
  <c r="T6" i="1"/>
  <c r="T5" i="1"/>
  <c r="G29" i="1"/>
  <c r="G30" i="1"/>
  <c r="G28" i="1"/>
  <c r="H23" i="1"/>
  <c r="K23" i="1" s="1"/>
  <c r="H24" i="1"/>
  <c r="K24" i="1" s="1"/>
  <c r="H22" i="1"/>
  <c r="K22" i="1" s="1"/>
  <c r="D11" i="1"/>
  <c r="B12" i="1" s="1"/>
  <c r="D12" i="1"/>
  <c r="B13" i="1" s="1"/>
  <c r="D10" i="1"/>
  <c r="B11" i="1" s="1"/>
  <c r="H11" i="1"/>
  <c r="G17" i="1" s="1"/>
  <c r="H12" i="1"/>
  <c r="G18" i="1" s="1"/>
  <c r="H10" i="1"/>
  <c r="G16" i="1" s="1"/>
  <c r="D29" i="1"/>
  <c r="D28" i="1"/>
  <c r="P6" i="1"/>
  <c r="P5" i="1"/>
  <c r="P4" i="1"/>
  <c r="E11" i="1"/>
  <c r="C11" i="1" s="1"/>
  <c r="A12" i="1" s="1"/>
  <c r="E12" i="1"/>
  <c r="C12" i="1" s="1"/>
  <c r="A13" i="1" s="1"/>
  <c r="E10" i="1"/>
  <c r="C10" i="1" s="1"/>
  <c r="A11" i="1" s="1"/>
  <c r="L23" i="1" l="1"/>
  <c r="L24" i="1"/>
  <c r="U4" i="1"/>
  <c r="U6" i="1"/>
  <c r="U5" i="1"/>
  <c r="L22" i="1"/>
</calcChain>
</file>

<file path=xl/sharedStrings.xml><?xml version="1.0" encoding="utf-8"?>
<sst xmlns="http://schemas.openxmlformats.org/spreadsheetml/2006/main" count="334" uniqueCount="220">
  <si>
    <t>USINA</t>
  </si>
  <si>
    <t>MATÉRIA PRIMA</t>
  </si>
  <si>
    <t>Cenário</t>
  </si>
  <si>
    <t>capacidade_nominal_nm3_dia</t>
  </si>
  <si>
    <t>producao</t>
  </si>
  <si>
    <t>tipo</t>
  </si>
  <si>
    <t>distancia_km</t>
  </si>
  <si>
    <t>pbm_nm3ch4_ton</t>
  </si>
  <si>
    <t>custo_r$_ton</t>
  </si>
  <si>
    <t>CENÁRIO 1</t>
  </si>
  <si>
    <t>RSU</t>
  </si>
  <si>
    <t>CENÁRIO 2</t>
  </si>
  <si>
    <t>CENÁRIO 3</t>
  </si>
  <si>
    <t>VINHAÇA</t>
  </si>
  <si>
    <t>PRÉ-TRATAMENTO</t>
  </si>
  <si>
    <t>BIODIGESTÃO</t>
  </si>
  <si>
    <t>custo_investimento_r$ mi</t>
  </si>
  <si>
    <t>custo_operacional_r$_ano mi</t>
  </si>
  <si>
    <t>eficiencia_%</t>
  </si>
  <si>
    <t>PURIFICAÇÃO</t>
  </si>
  <si>
    <t>PÓS-PROCESSAMENTO</t>
  </si>
  <si>
    <t>tecnica_purificacao</t>
  </si>
  <si>
    <t>estado_biometano</t>
  </si>
  <si>
    <t>PSA</t>
  </si>
  <si>
    <t>GNC</t>
  </si>
  <si>
    <t>LAVAGEM C/AGUA</t>
  </si>
  <si>
    <t>GNL</t>
  </si>
  <si>
    <t>MEMBRANA</t>
  </si>
  <si>
    <t>DIGESTATO</t>
  </si>
  <si>
    <t>CO2</t>
  </si>
  <si>
    <t>custo_operacional_r$_ano</t>
  </si>
  <si>
    <t>X</t>
  </si>
  <si>
    <t>TRANSPORTE BIOMETANO</t>
  </si>
  <si>
    <t>distancia_transporte_km</t>
  </si>
  <si>
    <t>custo_frete_biometano_r$_nm3</t>
  </si>
  <si>
    <t>modal</t>
  </si>
  <si>
    <t>CAMINHAO</t>
  </si>
  <si>
    <t>DUTO</t>
  </si>
  <si>
    <t>PREMISSAS/OBSERVAÇÕES</t>
  </si>
  <si>
    <t>REFERÊNCIAS</t>
  </si>
  <si>
    <t>tipo_caminhao</t>
  </si>
  <si>
    <t>CARRETA BASCULANTE</t>
  </si>
  <si>
    <t>capacidade_unitaria_ton</t>
  </si>
  <si>
    <t>TRANSPORTE MATÉRIA PRIMA</t>
  </si>
  <si>
    <t>custo_investimento_r$</t>
  </si>
  <si>
    <t>CAMINHAO TANQUE</t>
  </si>
  <si>
    <t>DEJETOS BOVINOS/SUINOS</t>
  </si>
  <si>
    <t>CAMINHAO TANQUE-VÁCUO</t>
  </si>
  <si>
    <t>quantidade_ton_dia</t>
  </si>
  <si>
    <t>numero_caminhoes_dia</t>
  </si>
  <si>
    <t>custo_frete_km</t>
  </si>
  <si>
    <t>icms_aliquota_%</t>
  </si>
  <si>
    <t>transporte_custo_dia</t>
  </si>
  <si>
    <t>talvez separar por estado do insumo</t>
  </si>
  <si>
    <t>icms_valor_r$</t>
  </si>
  <si>
    <t>preco_biometano_r$_m3</t>
  </si>
  <si>
    <t>CAPEX TOTAL</t>
  </si>
  <si>
    <t>OPEX TOTAL</t>
  </si>
  <si>
    <t>Selecionamos um capacidade nominal típica da realidade brasileira de 40000 Nm³/dia segundo a referência.</t>
  </si>
  <si>
    <t>EPE – Empresa de Pesquisa Energética. Investimentos e Custos Operacionais e de Manutenção no Setor de Biocombustíveis: 2025–2034. Nota Técnica EPE-DPG-SDB-2023-07, Rio de Janeiro, novembro de 2024.</t>
  </si>
  <si>
    <t>Selecionamos 3 tipos de matéria prima diferentes.</t>
  </si>
  <si>
    <t>biogas_bruto_m3</t>
  </si>
  <si>
    <t>Foram identificados três tipos de caminhões típicos para transporte de insumos:
CAMINHÃO BASCULANTE para transporte de resíduos sólidos urbanos.
CAMINHÃO TANQUE VÁCUO para transporte de dejetos líquidos e semi-sólidos.
CAMINHÃO TANQUE para transporte de vinhaça.</t>
  </si>
  <si>
    <t>biometano_m3</t>
  </si>
  <si>
    <t>estado_fisico</t>
  </si>
  <si>
    <t>solido</t>
  </si>
  <si>
    <t>pastoso</t>
  </si>
  <si>
    <t>liquido</t>
  </si>
  <si>
    <t>Alíquota média considerando as faixas de valores de ICMS.</t>
  </si>
  <si>
    <t>LOGÍSTICA BIOMETANO</t>
  </si>
  <si>
    <t>PREÇO BIOMETANO</t>
  </si>
  <si>
    <t>LOGÍSTICA MATÉRIA PRIMA</t>
  </si>
  <si>
    <t>SP</t>
  </si>
  <si>
    <t>MG</t>
  </si>
  <si>
    <t>GO</t>
  </si>
  <si>
    <t>https://www.taxgroup.com.br/intelligence/tabela-icms-atualizada/#qual-a-tabela-de-icms-por-estado?</t>
  </si>
  <si>
    <t>Tabela ICMS 2025 – São Paulo</t>
  </si>
  <si>
    <t>Não havendo alíquota específica, aplica-se a regra geral – alíquota de 18%, conforme expresso no artigo 52, inciso I, do RICMS/SP.</t>
  </si>
  <si>
    <t>Tabela ICMS 2025 – Minas Gerais</t>
  </si>
  <si>
    <t>Não havendo alíquota específica, aplica-se a regra geral – alíquota de 18%, conforme expresso no subitem 7.1 da Parte 1 do Anexo I do RICMS/MG.</t>
  </si>
  <si>
    <t>Tabela ICMS 2025 – Goiás</t>
  </si>
  <si>
    <r>
      <t>Não havendo alíquota específica, aplica-se a regra geral – alíquota de 19%, conforme expresso no artigo 20, inciso I, do</t>
    </r>
    <r>
      <rPr>
        <b/>
        <sz val="10"/>
        <color rgb="FF000000"/>
        <rFont val="Arial"/>
        <family val="2"/>
        <scheme val="minor"/>
      </rPr>
      <t xml:space="preserve"> RCTE/GO</t>
    </r>
    <r>
      <rPr>
        <sz val="10"/>
        <color rgb="FF000000"/>
        <rFont val="Arial"/>
        <family val="2"/>
        <scheme val="minor"/>
      </rPr>
      <t xml:space="preserve">. </t>
    </r>
  </si>
  <si>
    <t>transporte_proprio</t>
  </si>
  <si>
    <t>SIM</t>
  </si>
  <si>
    <t>NAO</t>
  </si>
  <si>
    <t>estado_usina</t>
  </si>
  <si>
    <t>estado_destino_biom</t>
  </si>
  <si>
    <t>custo_frete_biom_r$_nm3</t>
  </si>
  <si>
    <t>receita_bruta_biom_r$</t>
  </si>
  <si>
    <t>receita_liquida_biom_r$</t>
  </si>
  <si>
    <t>quantidade_dia</t>
  </si>
  <si>
    <t>unidade_medida</t>
  </si>
  <si>
    <t>ton</t>
  </si>
  <si>
    <t>litro</t>
  </si>
  <si>
    <t>densidade_kg_m3</t>
  </si>
  <si>
    <t>icms_origem_%</t>
  </si>
  <si>
    <t>icms_destino_%</t>
  </si>
  <si>
    <t>O usuário deverá poder criar cenários podendo escolher de parâmetros default do simulador ou criar novas instâncias personalizadas</t>
  </si>
  <si>
    <t>custo_aquisiçao_insumo_r$</t>
  </si>
  <si>
    <t>O usuário deverá poder escolher o preço de venda do biometano, alíquota do ICMS e qualquer outro tipo de imposto cobrado sobre a venda do biometano.</t>
  </si>
  <si>
    <t>O usuário deverá poder configurar a logística de transporte de insumo, customizando os parâmetros:
- distância de transporte /(km)
- custo do frete /(R$/km)
- capacidade unitaria do caminhão /(int)</t>
  </si>
  <si>
    <t>O usuário deverá poder configurar a logistica de transporte do Biometano, customizando os seguintes parâmetros:
- distância /(km)
- modal de transporte (caminhão ou duto) /(string)
- custo do frete /(R$/m3)</t>
  </si>
  <si>
    <t>Geolocalização? (usina, cliente final, fonte do insumo...)</t>
  </si>
  <si>
    <t>O usuário deverá poder escolher usinas preexistentes do simulador ou criar novas personalizadas</t>
  </si>
  <si>
    <t>O usuário deverá poder escolher insumos preexistentes do simulador ou criar novos insumos personalizados.</t>
  </si>
  <si>
    <t>O usuário deverá poder escolher instâncias de biodigestão preexistentes do simulador ou criar novos personalizados.</t>
  </si>
  <si>
    <t>O usuário deverá poder escolher instâncias de purificação preexistentes do simulador ou criar novos personalizados.</t>
  </si>
  <si>
    <t>O usuário deverá poder escolher instâncias de pós-processamento preexistentes do simulador ou criar novos personalizados.</t>
  </si>
  <si>
    <t>O usuário deverá poder escolher instâncias de tratamento de digestato preexistentes do simulador ou criar novos personalizados.</t>
  </si>
  <si>
    <t>Nos casos que o usuário desejar criar uma nova usina, ele deverá informar:
- nome da usina
- UF
- capacidade nominal
- produção
- UF de destinação do biometano
(O usuário pode copiar as informações de uma usina existente)</t>
  </si>
  <si>
    <t>Nos casos que o usuário desejar criar um novo insumo, ele deverá informar:
- nome /(string livre)
- unidade de medida /(toneladas ou litros)
- custo de aquisição /(R$/quantidade)
- quantidade diária /(int)
- potencial bioquímico de metano (pbm)  /(CH4/ton)
- densidade (caso a unidade de medida esteja em litros) /(kg/m3)
- estado físico (sólido, liquido ou pastoso) /(string)
(O usuário pode copiar as informações de um insumo existente)</t>
  </si>
  <si>
    <t>Nos casos que o usuário desejar criar uma nova instância de biodigestão, ele deverá informar:
- nome /(string livre)
- custo de investimento /(R$)
- custo operacional /(R$/ano)
- eficiencia /(%)
(O usuário pode copiar as informações de uma instância de biodigestão existente)</t>
  </si>
  <si>
    <t>Nos casos que o usuário desejar criar uma nova instância de purificação, ele deverá informar:
- nome /(string livre)
- nome técnica /(string livre)
- custo de investimento /(R$)
- custo operacional /(R$/ano)
- eficiencia /(%)
(O usuário pode copiar as informações de uma instância de purificação existente)</t>
  </si>
  <si>
    <t>Nos casos que o usuário desejar criar uma nova instância de pós-processamento, ele deverá informar:
- nome /(string livre)
- método (compressão ou liquefação) /(string)
- custo de investimento /(R$)
- custo operacional /(R$/ano)
(O usuário pode copiar as informações de uma instância de pós-processamento existente)</t>
  </si>
  <si>
    <t>Nos casos que o usuário desejar criar uma nova instância de tratamento de digestato, ele deverá informar:
- nome /(string livre)
- custo de investimento /(R$)
- custo operacional /(R$/ano)
(O usuário pode copiar as informações de uma instância de tratamento de digestato existente)</t>
  </si>
  <si>
    <t>O usuário deverá poder criar tratamentos de CO2 personalizados informando:
- nome /(string livre)
- custo de investimento /(R$)
- custo operacional /(R$/ano)
(O usuário pode copiar as informações de uma instância de tratamento de CO2 existente)</t>
  </si>
  <si>
    <t>UF</t>
  </si>
  <si>
    <t>ALÍQUOTA ICMS</t>
  </si>
  <si>
    <t>DESCRIÇÃO</t>
  </si>
  <si>
    <t>Acre (AC)</t>
  </si>
  <si>
    <t>Sem norma específica localizada</t>
  </si>
  <si>
    <t>Alagoas (AL)</t>
  </si>
  <si>
    <t>Amapá (AP)</t>
  </si>
  <si>
    <t>Amazonas (AM)</t>
  </si>
  <si>
    <t>Bahia (BA)</t>
  </si>
  <si>
    <t>Ceará (CE)</t>
  </si>
  <si>
    <t>Distrito Federal (DF)</t>
  </si>
  <si>
    <t>Espírito Santo (ES)</t>
  </si>
  <si>
    <t>Goiás (GO)</t>
  </si>
  <si>
    <t>Maranhão (MA)</t>
  </si>
  <si>
    <t>Mato Grosso (MT)</t>
  </si>
  <si>
    <t>Mato Grosso do Sul (MS)</t>
  </si>
  <si>
    <t>Minas Gerais (MG)</t>
  </si>
  <si>
    <t>Adesão ao Convênio 112/13 permitida; norma específica para biometano ainda em análise</t>
  </si>
  <si>
    <t>Sem alíquota interna específica localizada</t>
  </si>
  <si>
    <t>Pará (PA)</t>
  </si>
  <si>
    <t>Paraíba (PB)</t>
  </si>
  <si>
    <t>Paraná (PR)</t>
  </si>
  <si>
    <t>Pernambuco (PE)</t>
  </si>
  <si>
    <t>Piauí (PI)</t>
  </si>
  <si>
    <t>Rio de Janeiro (RJ)</t>
  </si>
  <si>
    <t>Rio Grande do Norte (RN)</t>
  </si>
  <si>
    <t>Rio Grande do Sul (RS)</t>
  </si>
  <si>
    <t>Rondônia (RO)</t>
  </si>
  <si>
    <t>Roraima (RR)</t>
  </si>
  <si>
    <t>Santa Catarina (SC)</t>
  </si>
  <si>
    <t>São Paulo (SP)</t>
  </si>
  <si>
    <t>Sergipe (SE)</t>
  </si>
  <si>
    <t>Tocantins (TO)</t>
  </si>
  <si>
    <t>REFERÊNCIA</t>
  </si>
  <si>
    <t>-</t>
  </si>
  <si>
    <t>Suponha:</t>
  </si>
  <si>
    <r>
      <t xml:space="preserve">Alíquota interna de ICMS = </t>
    </r>
    <r>
      <rPr>
        <b/>
        <sz val="10"/>
        <color rgb="FF000000"/>
        <rFont val="Arial"/>
        <scheme val="minor"/>
      </rPr>
      <t>18%</t>
    </r>
  </si>
  <si>
    <r>
      <t xml:space="preserve">Crédito outorgado = </t>
    </r>
    <r>
      <rPr>
        <b/>
        <sz val="10"/>
        <color rgb="FF000000"/>
        <rFont val="Arial"/>
        <scheme val="minor"/>
      </rPr>
      <t>85%</t>
    </r>
  </si>
  <si>
    <r>
      <t xml:space="preserve">Valor da venda = </t>
    </r>
    <r>
      <rPr>
        <b/>
        <sz val="10"/>
        <color rgb="FF000000"/>
        <rFont val="Arial"/>
        <scheme val="minor"/>
      </rPr>
      <t>R$ 100.000</t>
    </r>
  </si>
  <si>
    <t>Sem benefício:</t>
  </si>
  <si>
    <r>
      <t xml:space="preserve">ICMS devido = 18% × 100.000 = </t>
    </r>
    <r>
      <rPr>
        <b/>
        <sz val="10"/>
        <color rgb="FF000000"/>
        <rFont val="Arial"/>
        <scheme val="minor"/>
      </rPr>
      <t>R$ 18.000</t>
    </r>
  </si>
  <si>
    <t>Com crédito outorgado de 85%:</t>
  </si>
  <si>
    <t>Você “ganha” 85% de desconto sobre esse ICMS:</t>
  </si>
  <si>
    <r>
      <t xml:space="preserve">Crédito = 85% × 18.000 = </t>
    </r>
    <r>
      <rPr>
        <b/>
        <sz val="10"/>
        <color rgb="FF000000"/>
        <rFont val="Arial"/>
        <scheme val="minor"/>
      </rPr>
      <t>R$ 15.300</t>
    </r>
  </si>
  <si>
    <t>Então paga só:</t>
  </si>
  <si>
    <r>
      <t xml:space="preserve">18.000 − 15.300 = </t>
    </r>
    <r>
      <rPr>
        <b/>
        <sz val="10"/>
        <color rgb="FF000000"/>
        <rFont val="Arial"/>
        <scheme val="minor"/>
      </rPr>
      <t>R$ 2.700</t>
    </r>
  </si>
  <si>
    <t>(ou seja, o imposto foi reduzido de 18% → 2,7%)</t>
  </si>
  <si>
    <r>
      <t xml:space="preserve"> </t>
    </r>
    <r>
      <rPr>
        <b/>
        <sz val="10"/>
        <color rgb="FF000000"/>
        <rFont val="Arial"/>
        <scheme val="minor"/>
      </rPr>
      <t>Carga efetiva de ICMS = 2,7%</t>
    </r>
  </si>
  <si>
    <t>Alíquota padrão na UF</t>
  </si>
  <si>
    <t>Alíquota padrão na UF = 20% alíquota interna</t>
  </si>
  <si>
    <t>Alíquota padrão na UF = 19% alíquota interna</t>
  </si>
  <si>
    <t>https://sapl.al.am.leg.br/media/sapl/public/normajuridica/2024/13468/7096.pdf</t>
  </si>
  <si>
    <t>Convênio ICMS 112/2013</t>
  </si>
  <si>
    <t>O Convênio ICMS 112/2013 é uma norma nacional que autoriza (mas não obriga) os estados a reduzirem a carga de ICMS sobre biogás e biometano para 12% — servindo de base legal para leis estaduais de incentivo ao biometano.</t>
  </si>
  <si>
    <t>Redução anunciada da alíquota de 17% para 1,8% para biometano</t>
  </si>
  <si>
    <t>https://www.semadesc.ms.gov.br/governo-de-ms-reduz-aliquota-de-icms-sobre-o-biometano-para-as-sucroenergeticas-na-expocanas</t>
  </si>
  <si>
    <t>https://www.es.gov.br/Noticia/es-mais-gas-apos-reducao-de-impostos-primeira-usina-de-biometano-do-estado-entra-em-fase-de-construcao</t>
  </si>
  <si>
    <t>https://abiogas.org.br/wp-content/uploads/protectedfiles/Estudo tributário - Incentivos fiscais federais e estaduais para o biogás e biometano (2021).pdf</t>
  </si>
  <si>
    <t>Norma existente</t>
  </si>
  <si>
    <t>Tipo de saída</t>
  </si>
  <si>
    <t>O que significa</t>
  </si>
  <si>
    <t>Exemplo</t>
  </si>
  <si>
    <t>Saída interna</t>
  </si>
  <si>
    <r>
      <t xml:space="preserve">Venda </t>
    </r>
    <r>
      <rPr>
        <b/>
        <sz val="10"/>
        <color rgb="FF000000"/>
        <rFont val="Arial"/>
        <family val="2"/>
        <scheme val="minor"/>
      </rPr>
      <t>dentro do mesmo estado</t>
    </r>
    <r>
      <rPr>
        <sz val="10"/>
        <color rgb="FF000000"/>
        <rFont val="Arial"/>
        <family val="2"/>
        <scheme val="minor"/>
      </rPr>
      <t xml:space="preserve"> (origem e destino na mesma UF)</t>
    </r>
  </si>
  <si>
    <r>
      <t xml:space="preserve">Usina em SP vende biometano para distribuidora </t>
    </r>
    <r>
      <rPr>
        <b/>
        <sz val="10"/>
        <color rgb="FF000000"/>
        <rFont val="Arial"/>
        <family val="2"/>
        <scheme val="minor"/>
      </rPr>
      <t>em SP</t>
    </r>
  </si>
  <si>
    <t>Saída interestadual</t>
  </si>
  <si>
    <r>
      <t xml:space="preserve">Usina em SP vende biometano para cliente </t>
    </r>
    <r>
      <rPr>
        <b/>
        <sz val="10"/>
        <color rgb="FF000000"/>
        <rFont val="Arial"/>
        <family val="2"/>
        <scheme val="minor"/>
      </rPr>
      <t>em GO</t>
    </r>
  </si>
  <si>
    <r>
      <t xml:space="preserve">Venda </t>
    </r>
    <r>
      <rPr>
        <b/>
        <sz val="10"/>
        <color rgb="FF000000"/>
        <rFont val="Arial"/>
        <family val="2"/>
        <scheme val="minor"/>
      </rPr>
      <t>para outro estado</t>
    </r>
    <r>
      <rPr>
        <sz val="10"/>
        <color rgb="FF000000"/>
        <rFont val="Arial"/>
        <family val="2"/>
        <scheme val="minor"/>
      </rPr>
      <t xml:space="preserve"> (origem é diferente do destino)</t>
    </r>
  </si>
  <si>
    <t>Tipo de operação</t>
  </si>
  <si>
    <t>Regra geral de ICMS</t>
  </si>
  <si>
    <t>Interna</t>
  </si>
  <si>
    <t>Interestadual</t>
  </si>
  <si>
    <r>
      <t xml:space="preserve">Usa a </t>
    </r>
    <r>
      <rPr>
        <b/>
        <sz val="10"/>
        <color rgb="FF000000"/>
        <rFont val="Arial"/>
        <family val="2"/>
        <scheme val="minor"/>
      </rPr>
      <t>alíquota interna do estado</t>
    </r>
    <r>
      <rPr>
        <sz val="10"/>
        <color rgb="FF000000"/>
        <rFont val="Arial"/>
        <family val="2"/>
        <scheme val="minor"/>
      </rPr>
      <t xml:space="preserve"> ou </t>
    </r>
    <r>
      <rPr>
        <b/>
        <sz val="10"/>
        <color rgb="FF000000"/>
        <rFont val="Arial"/>
        <family val="2"/>
        <scheme val="minor"/>
      </rPr>
      <t>a carga reduzida</t>
    </r>
    <r>
      <rPr>
        <sz val="10"/>
        <color rgb="FF000000"/>
        <rFont val="Arial"/>
        <family val="2"/>
        <scheme val="minor"/>
      </rPr>
      <t xml:space="preserve"> se houver benefício.</t>
    </r>
  </si>
  <si>
    <r>
      <t xml:space="preserve">Usa a </t>
    </r>
    <r>
      <rPr>
        <b/>
        <sz val="10"/>
        <color rgb="FF000000"/>
        <rFont val="Arial"/>
        <family val="2"/>
        <scheme val="minor"/>
      </rPr>
      <t>alíquota interestadual</t>
    </r>
  </si>
  <si>
    <t>DIFAL — diferencial de alíquota (quando o comprador não é contribuinte)</t>
  </si>
  <si>
    <t>Exemplo:</t>
  </si>
  <si>
    <t>Origem (SP)</t>
  </si>
  <si>
    <t>Destino (GO)</t>
  </si>
  <si>
    <r>
      <t xml:space="preserve">Se a venda é </t>
    </r>
    <r>
      <rPr>
        <b/>
        <sz val="10"/>
        <color rgb="FF000000"/>
        <rFont val="Arial"/>
        <family val="2"/>
        <scheme val="minor"/>
      </rPr>
      <t>interestadual para consumidor final não contribuinte</t>
    </r>
    <r>
      <rPr>
        <sz val="10"/>
        <color rgb="FF000000"/>
        <rFont val="Arial"/>
        <family val="2"/>
        <scheme val="minor"/>
      </rPr>
      <t>, há o DIFAL: parte vai para o estado de origem e parte para o estado de destino.</t>
    </r>
  </si>
  <si>
    <t>(18% − 7%) x 100.000 = R$11.000</t>
  </si>
  <si>
    <t>7% x 100.000 = R$7.000</t>
  </si>
  <si>
    <t>Venda SP -&gt; GO (consumidor final)</t>
  </si>
  <si>
    <t>Alíquota interestadual = 7%
Alíquota interna em GO = 18%</t>
  </si>
  <si>
    <t>Redução da base de cálculo para carga efetiva 12% para operações internas</t>
  </si>
  <si>
    <t>A Lei 8.922/2024 de Amazonas cria a base legal para o estado conceder redução, isenção ou crédito de ICMS ao biogás e biometano, mas os detalhes práticos (quanto e como) ainda não existem.</t>
  </si>
  <si>
    <t>https://www.legisweb.com.br/legislacao/?id=471854</t>
  </si>
  <si>
    <t>https://legislacao.fazenda.sp.gov.br/Paginas/an2art069.aspx</t>
  </si>
  <si>
    <t>https://www.fazenda.pr.gov.br/sites/default/arquivos_restritos/files/documento/2025-02/CARTILHA TRIBUTÁRIA%20 BIOGÁS E BIOMETANO.pdf</t>
  </si>
  <si>
    <r>
      <t>Alíquota reduzida para de 17% para 12</t>
    </r>
    <r>
      <rPr>
        <b/>
        <sz val="10"/>
        <color rgb="FF000000"/>
        <rFont val="Arial"/>
        <scheme val="minor"/>
      </rPr>
      <t>%</t>
    </r>
    <r>
      <rPr>
        <sz val="10"/>
        <color rgb="FF000000"/>
        <rFont val="Arial"/>
        <scheme val="minor"/>
      </rPr>
      <t xml:space="preserve"> para biogás/biometano (Saídas internas)</t>
    </r>
  </si>
  <si>
    <t>Redução de base de cálculo para 12% para biogás/biometano. (Saídas internas)</t>
  </si>
  <si>
    <t>Alíquota padrão do gás na UF = 20% alíquota interna</t>
  </si>
  <si>
    <t>Alíquota padrão do gás na UF = 23% alíquota interna</t>
  </si>
  <si>
    <t>Alíquota padrão do gás na UF = 17% alíquota interna</t>
  </si>
  <si>
    <t>Alíquota padrão do gás na UF = 19% alíquota interna</t>
  </si>
  <si>
    <t>Alíquota padrão do gás na UF = 20.5% alíquota interna</t>
  </si>
  <si>
    <t>Alíquota padrão do gás na UF = 22.5% alíquota interna</t>
  </si>
  <si>
    <t>Alíquota padrão do gás na UF = 19.5% alíquota interna</t>
  </si>
  <si>
    <t>Apenas um benefício especificamente a SCGAS encontrado.</t>
  </si>
  <si>
    <t>https://www.legisweb.com.br/legislacao/?id=456696</t>
  </si>
  <si>
    <t>Redução de base de cálculo para que a carga tributária corresponda ao percentual de 12% (Saídas internas)</t>
  </si>
  <si>
    <t>Encontrada lei que cria base legal para o estado conceder benefícios ao biogás e biometano, mas não existe uma lei que aplique esses benefícios ainda.</t>
  </si>
  <si>
    <t>Alíquota interna de 19%, com crédito outorgado de até 85% nas operações internas e 90% nas interestaduais.</t>
  </si>
  <si>
    <t>https://agenciacoradenoticias.go.gov.br/materias-especiais/governo-incentiva-energia-limpa-com-beneficio-fiscal-para-biogas-e-biometano</t>
  </si>
  <si>
    <t>custo_operacional_r$_ton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</si>
</sst>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R$&quot;\ #,##0;[Red]\-&quot;R$&quot;\ #,##0"/>
    <numFmt numFmtId="164" formatCode="&quot;R$&quot;\ #,##0.00"/>
    <numFmt numFmtId="165" formatCode="&quot;R$&quot;\ #,##0"/>
    <numFmt numFmtId="166" formatCode="&quot;R$&quot;\ #,##0.000"/>
  </numFmts>
  <fonts count="12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  <font>
      <b/>
      <sz val="10"/>
      <color theme="1"/>
      <name val="Arial"/>
      <family val="2"/>
      <scheme val="minor"/>
    </font>
    <font>
      <u/>
      <sz val="10"/>
      <color theme="10"/>
      <name val="Arial"/>
      <scheme val="minor"/>
    </font>
    <font>
      <b/>
      <sz val="11"/>
      <color rgb="FF000000"/>
      <name val="Arial"/>
      <family val="2"/>
      <scheme val="minor"/>
    </font>
    <font>
      <b/>
      <sz val="12"/>
      <color rgb="FF000000"/>
      <name val="Arial"/>
      <family val="2"/>
      <scheme val="minor"/>
    </font>
    <font>
      <b/>
      <sz val="10"/>
      <color rgb="FF000000"/>
      <name val="Arial"/>
      <scheme val="minor"/>
    </font>
    <font>
      <b/>
      <sz val="13.5"/>
      <color rgb="FF000000"/>
      <name val="Arial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B6D7A8"/>
        <bgColor rgb="FFB6D7A8"/>
      </patternFill>
    </fill>
    <fill>
      <patternFill patternType="solid">
        <fgColor rgb="FFCCCCCC"/>
        <bgColor rgb="FFCCCCCC"/>
      </patternFill>
    </fill>
    <fill>
      <patternFill patternType="solid">
        <fgColor rgb="FFD5A6BD"/>
        <bgColor rgb="FFD5A6BD"/>
      </patternFill>
    </fill>
    <fill>
      <patternFill patternType="solid">
        <fgColor rgb="FFB4A7D6"/>
        <bgColor rgb="FFB4A7D6"/>
      </patternFill>
    </fill>
    <fill>
      <patternFill patternType="solid">
        <fgColor rgb="FF9FC5E8"/>
        <bgColor rgb="FF9FC5E8"/>
      </patternFill>
    </fill>
    <fill>
      <patternFill patternType="solid">
        <fgColor rgb="FFA2C4C9"/>
        <bgColor rgb="FFA2C4C9"/>
      </patternFill>
    </fill>
    <fill>
      <patternFill patternType="solid">
        <fgColor rgb="FFFFE599"/>
        <bgColor rgb="FFFFE599"/>
      </patternFill>
    </fill>
    <fill>
      <patternFill patternType="solid">
        <fgColor rgb="FFEA9999"/>
        <bgColor rgb="FFEA9999"/>
      </patternFill>
    </fill>
    <fill>
      <patternFill patternType="solid">
        <fgColor rgb="FFF9CB9C"/>
        <bgColor rgb="FFF9CB9C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4.9989318521683403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rgb="FFEA9999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98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2" fillId="4" borderId="0" xfId="0" applyFont="1" applyFill="1" applyAlignment="1">
      <alignment horizontal="right"/>
    </xf>
    <xf numFmtId="0" fontId="1" fillId="0" borderId="0" xfId="0" applyFont="1"/>
    <xf numFmtId="3" fontId="1" fillId="0" borderId="0" xfId="0" applyNumberFormat="1" applyFont="1" applyAlignment="1">
      <alignment horizontal="center"/>
    </xf>
    <xf numFmtId="0" fontId="1" fillId="10" borderId="0" xfId="0" applyFont="1" applyFill="1" applyAlignment="1">
      <alignment horizontal="center"/>
    </xf>
    <xf numFmtId="164" fontId="1" fillId="0" borderId="0" xfId="0" applyNumberFormat="1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6" fillId="0" borderId="0" xfId="0" applyFont="1"/>
    <xf numFmtId="165" fontId="1" fillId="0" borderId="0" xfId="0" applyNumberFormat="1" applyFont="1" applyAlignment="1">
      <alignment horizontal="center"/>
    </xf>
    <xf numFmtId="164" fontId="4" fillId="0" borderId="0" xfId="0" applyNumberFormat="1" applyFont="1" applyAlignment="1">
      <alignment horizontal="center"/>
    </xf>
    <xf numFmtId="166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 vertical="center" wrapText="1"/>
    </xf>
    <xf numFmtId="164" fontId="0" fillId="0" borderId="0" xfId="0" applyNumberFormat="1" applyAlignment="1">
      <alignment horizontal="center"/>
    </xf>
    <xf numFmtId="164" fontId="3" fillId="0" borderId="0" xfId="0" applyNumberFormat="1" applyFont="1" applyAlignment="1">
      <alignment horizontal="center"/>
    </xf>
    <xf numFmtId="164" fontId="0" fillId="0" borderId="0" xfId="0" applyNumberFormat="1"/>
    <xf numFmtId="164" fontId="0" fillId="0" borderId="0" xfId="0" applyNumberFormat="1" applyAlignment="1">
      <alignment horizontal="center" vertical="center"/>
    </xf>
    <xf numFmtId="0" fontId="5" fillId="13" borderId="0" xfId="0" applyFont="1" applyFill="1" applyAlignment="1">
      <alignment horizontal="center" vertical="center"/>
    </xf>
    <xf numFmtId="0" fontId="5" fillId="14" borderId="0" xfId="0" applyFont="1" applyFill="1" applyAlignment="1">
      <alignment horizontal="center" vertical="center"/>
    </xf>
    <xf numFmtId="0" fontId="1" fillId="10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2" fontId="0" fillId="0" borderId="0" xfId="0" applyNumberFormat="1" applyAlignment="1">
      <alignment horizontal="center" vertical="center"/>
    </xf>
    <xf numFmtId="2" fontId="1" fillId="0" borderId="0" xfId="0" applyNumberFormat="1" applyFont="1" applyAlignment="1">
      <alignment horizontal="center"/>
    </xf>
    <xf numFmtId="10" fontId="1" fillId="0" borderId="0" xfId="0" applyNumberFormat="1" applyFont="1" applyAlignment="1">
      <alignment horizontal="center"/>
    </xf>
    <xf numFmtId="0" fontId="1" fillId="15" borderId="0" xfId="0" applyFont="1" applyFill="1" applyAlignment="1">
      <alignment horizontal="center"/>
    </xf>
    <xf numFmtId="164" fontId="3" fillId="0" borderId="0" xfId="0" applyNumberFormat="1" applyFont="1"/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10" fontId="4" fillId="0" borderId="0" xfId="0" applyNumberFormat="1" applyFont="1" applyAlignment="1">
      <alignment horizontal="center"/>
    </xf>
    <xf numFmtId="0" fontId="3" fillId="14" borderId="0" xfId="0" applyFont="1" applyFill="1" applyAlignment="1">
      <alignment horizontal="center" vertical="center"/>
    </xf>
    <xf numFmtId="0" fontId="1" fillId="14" borderId="0" xfId="0" applyFont="1" applyFill="1" applyAlignment="1">
      <alignment horizontal="center" vertical="center"/>
    </xf>
    <xf numFmtId="0" fontId="4" fillId="14" borderId="0" xfId="0" applyFont="1" applyFill="1" applyAlignment="1">
      <alignment horizontal="center" vertical="center"/>
    </xf>
    <xf numFmtId="0" fontId="4" fillId="14" borderId="0" xfId="0" applyFont="1" applyFill="1"/>
    <xf numFmtId="0" fontId="1" fillId="14" borderId="0" xfId="0" applyFont="1" applyFill="1"/>
    <xf numFmtId="0" fontId="1" fillId="17" borderId="0" xfId="0" applyFont="1" applyFill="1"/>
    <xf numFmtId="0" fontId="1" fillId="14" borderId="0" xfId="0" applyFont="1" applyFill="1" applyAlignment="1">
      <alignment horizontal="center" vertical="center" wrapText="1"/>
    </xf>
    <xf numFmtId="0" fontId="1" fillId="14" borderId="0" xfId="0" applyFont="1" applyFill="1" applyAlignment="1">
      <alignment horizontal="center"/>
    </xf>
    <xf numFmtId="0" fontId="4" fillId="14" borderId="0" xfId="0" applyFont="1" applyFill="1" applyAlignment="1">
      <alignment horizontal="center"/>
    </xf>
    <xf numFmtId="0" fontId="4" fillId="14" borderId="0" xfId="0" applyFont="1" applyFill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0" fillId="0" borderId="0" xfId="0" applyAlignment="1">
      <alignment horizontal="left" vertical="center" wrapText="1"/>
    </xf>
    <xf numFmtId="0" fontId="5" fillId="0" borderId="0" xfId="0" applyFont="1"/>
    <xf numFmtId="10" fontId="0" fillId="0" borderId="0" xfId="0" applyNumberFormat="1" applyAlignment="1">
      <alignment horizontal="center"/>
    </xf>
    <xf numFmtId="0" fontId="0" fillId="0" borderId="1" xfId="0" applyBorder="1"/>
    <xf numFmtId="0" fontId="0" fillId="14" borderId="2" xfId="0" applyFill="1" applyBorder="1" applyAlignment="1">
      <alignment horizontal="left" vertical="center" wrapText="1"/>
    </xf>
    <xf numFmtId="0" fontId="3" fillId="14" borderId="2" xfId="0" applyFont="1" applyFill="1" applyBorder="1" applyAlignment="1">
      <alignment horizontal="left" vertical="center" wrapText="1"/>
    </xf>
    <xf numFmtId="0" fontId="3" fillId="14" borderId="0" xfId="0" applyFont="1" applyFill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0" fillId="0" borderId="2" xfId="0" applyBorder="1" applyAlignment="1">
      <alignment vertical="center" wrapText="1"/>
    </xf>
    <xf numFmtId="0" fontId="7" fillId="0" borderId="2" xfId="1" applyBorder="1" applyAlignment="1">
      <alignment vertical="center" wrapText="1"/>
    </xf>
    <xf numFmtId="0" fontId="0" fillId="0" borderId="0" xfId="0" applyAlignment="1">
      <alignment horizontal="left" vertical="top"/>
    </xf>
    <xf numFmtId="0" fontId="11" fillId="0" borderId="0" xfId="0" applyFont="1" applyAlignment="1">
      <alignment horizontal="left" vertical="top"/>
    </xf>
    <xf numFmtId="0" fontId="3" fillId="0" borderId="2" xfId="0" applyFont="1" applyBorder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5" fillId="14" borderId="0" xfId="0" applyFont="1" applyFill="1" applyAlignment="1">
      <alignment horizontal="center" vertical="center" wrapText="1"/>
    </xf>
    <xf numFmtId="6" fontId="3" fillId="0" borderId="0" xfId="0" applyNumberFormat="1" applyFont="1" applyAlignment="1">
      <alignment vertical="center" wrapText="1"/>
    </xf>
    <xf numFmtId="0" fontId="2" fillId="5" borderId="0" xfId="0" applyFont="1" applyFill="1" applyAlignment="1">
      <alignment horizontal="center"/>
    </xf>
    <xf numFmtId="0" fontId="0" fillId="0" borderId="0" xfId="0"/>
    <xf numFmtId="0" fontId="2" fillId="3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2" fillId="6" borderId="0" xfId="0" applyFont="1" applyFill="1" applyAlignment="1">
      <alignment horizontal="center"/>
    </xf>
    <xf numFmtId="0" fontId="2" fillId="8" borderId="0" xfId="0" applyFont="1" applyFill="1" applyAlignment="1">
      <alignment horizontal="center"/>
    </xf>
    <xf numFmtId="0" fontId="2" fillId="7" borderId="0" xfId="0" applyFont="1" applyFill="1" applyAlignment="1">
      <alignment horizontal="center"/>
    </xf>
    <xf numFmtId="0" fontId="2" fillId="9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7" fillId="0" borderId="0" xfId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left" vertical="top"/>
    </xf>
    <xf numFmtId="0" fontId="6" fillId="11" borderId="0" xfId="0" applyFont="1" applyFill="1" applyAlignment="1">
      <alignment horizontal="center" vertical="center"/>
    </xf>
    <xf numFmtId="0" fontId="5" fillId="18" borderId="0" xfId="0" applyFont="1" applyFill="1" applyAlignment="1">
      <alignment horizontal="center"/>
    </xf>
    <xf numFmtId="0" fontId="3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9" fillId="15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center"/>
    </xf>
    <xf numFmtId="0" fontId="2" fillId="7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2" fillId="8" borderId="0" xfId="0" applyFont="1" applyFill="1" applyAlignment="1">
      <alignment horizontal="center" vertical="center"/>
    </xf>
    <xf numFmtId="0" fontId="2" fillId="11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5" fillId="12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38</xdr:row>
      <xdr:rowOff>0</xdr:rowOff>
    </xdr:from>
    <xdr:to>
      <xdr:col>6</xdr:col>
      <xdr:colOff>219075</xdr:colOff>
      <xdr:row>88</xdr:row>
      <xdr:rowOff>66675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E644F67-3FCE-41E5-A4FC-DF94D639CD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8582025"/>
          <a:ext cx="9753600" cy="8277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taxgroup.com.br/intelligence/tabela-icms-atualizada/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legisweb.com.br/legislacao/?id=456696" TargetMode="External"/><Relationship Id="rId3" Type="http://schemas.openxmlformats.org/officeDocument/2006/relationships/hyperlink" Target="https://sapl.al.am.leg.br/media/sapl/public/normajuridica/2024/13468/7096.pdf" TargetMode="External"/><Relationship Id="rId7" Type="http://schemas.openxmlformats.org/officeDocument/2006/relationships/hyperlink" Target="https://www.fazenda.pr.gov.br/sites/default/arquivos_restritos/files/documento/2025-02/CARTILHA%20TRIBUT&#193;RIA%20%20BIOG&#193;S%20E%20BIOMETANO.pdf" TargetMode="External"/><Relationship Id="rId2" Type="http://schemas.openxmlformats.org/officeDocument/2006/relationships/hyperlink" Target="https://www.semadesc.ms.gov.br/governo-de-ms-reduz-aliquota-de-icms-sobre-o-biometano-para-as-sucroenergeticas-na-expocanas" TargetMode="External"/><Relationship Id="rId1" Type="http://schemas.openxmlformats.org/officeDocument/2006/relationships/hyperlink" Target="https://www.es.gov.br/Noticia/es-mais-gas-apos-reducao-de-impostos-primeira-usina-de-biometano-do-estado-entra-em-fase-de-construcao" TargetMode="External"/><Relationship Id="rId6" Type="http://schemas.openxmlformats.org/officeDocument/2006/relationships/hyperlink" Target="https://legislacao.fazenda.sp.gov.br/Paginas/an2art069.aspx" TargetMode="External"/><Relationship Id="rId5" Type="http://schemas.openxmlformats.org/officeDocument/2006/relationships/hyperlink" Target="https://www.legisweb.com.br/legislacao/?id=471854" TargetMode="External"/><Relationship Id="rId10" Type="http://schemas.openxmlformats.org/officeDocument/2006/relationships/drawing" Target="../drawings/drawing1.xml"/><Relationship Id="rId4" Type="http://schemas.openxmlformats.org/officeDocument/2006/relationships/hyperlink" Target="https://abiogas.org.br/wp-content/uploads/protectedfiles/Estudo%20tribut&#225;rio%20-%20Incentivos%20fiscais%20federais%20e%20estaduais%20para%20o%20biog&#225;s%20e%20biometano%20(2021).pdf" TargetMode="External"/><Relationship Id="rId9" Type="http://schemas.openxmlformats.org/officeDocument/2006/relationships/hyperlink" Target="https://agenciacoradenoticias.go.gov.br/materias-especiais/governo-incentiva-energia-limpa-com-beneficio-fiscal-para-biogas-e-biometan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2:AE79"/>
  <sheetViews>
    <sheetView tabSelected="1" topLeftCell="C1" workbookViewId="0">
      <selection activeCell="D33" sqref="D33"/>
    </sheetView>
  </sheetViews>
  <sheetFormatPr defaultColWidth="12.5703125" defaultRowHeight="15.75" customHeight="1" x14ac:dyDescent="0.2"/>
  <cols>
    <col min="1" max="26" width="30.5703125" customWidth="1"/>
  </cols>
  <sheetData>
    <row r="2" spans="1:31" ht="12.75" x14ac:dyDescent="0.2">
      <c r="A2" s="1"/>
      <c r="B2" s="1"/>
      <c r="C2" s="73" t="s">
        <v>0</v>
      </c>
      <c r="D2" s="73"/>
      <c r="E2" s="73"/>
      <c r="F2" s="73"/>
      <c r="G2" s="72" t="s">
        <v>71</v>
      </c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  <c r="S2" s="72"/>
      <c r="T2" s="72"/>
      <c r="U2" s="72"/>
      <c r="V2" s="72"/>
      <c r="W2" s="1"/>
      <c r="X2" s="1"/>
      <c r="Y2" s="1"/>
      <c r="Z2" s="1"/>
    </row>
    <row r="3" spans="1:31" ht="12.75" x14ac:dyDescent="0.2">
      <c r="A3" s="2"/>
      <c r="B3" s="2" t="s">
        <v>2</v>
      </c>
      <c r="C3" s="47" t="s">
        <v>3</v>
      </c>
      <c r="D3" s="50" t="s">
        <v>4</v>
      </c>
      <c r="E3" s="41" t="s">
        <v>85</v>
      </c>
      <c r="F3" s="41" t="s">
        <v>86</v>
      </c>
      <c r="G3" s="48" t="s">
        <v>5</v>
      </c>
      <c r="H3" s="49" t="s">
        <v>64</v>
      </c>
      <c r="I3" s="47" t="s">
        <v>6</v>
      </c>
      <c r="J3" s="50" t="s">
        <v>90</v>
      </c>
      <c r="K3" s="50" t="s">
        <v>91</v>
      </c>
      <c r="L3" s="50" t="s">
        <v>94</v>
      </c>
      <c r="M3" s="47" t="s">
        <v>7</v>
      </c>
      <c r="N3" s="50" t="s">
        <v>8</v>
      </c>
      <c r="O3" s="41" t="s">
        <v>40</v>
      </c>
      <c r="P3" s="41" t="s">
        <v>49</v>
      </c>
      <c r="Q3" s="41" t="s">
        <v>42</v>
      </c>
      <c r="R3" s="41" t="s">
        <v>50</v>
      </c>
      <c r="S3" s="50" t="s">
        <v>51</v>
      </c>
      <c r="T3" s="50" t="s">
        <v>54</v>
      </c>
      <c r="U3" s="50" t="s">
        <v>52</v>
      </c>
      <c r="V3" s="50" t="s">
        <v>98</v>
      </c>
      <c r="W3" s="2"/>
      <c r="X3" s="2"/>
      <c r="Y3" s="2"/>
      <c r="Z3" s="2"/>
      <c r="AA3" s="2"/>
      <c r="AB3" s="2"/>
      <c r="AC3" s="2"/>
      <c r="AD3" s="2"/>
      <c r="AE3" s="2"/>
    </row>
    <row r="4" spans="1:31" ht="12.75" x14ac:dyDescent="0.2">
      <c r="B4" s="4" t="s">
        <v>9</v>
      </c>
      <c r="C4" s="6">
        <v>40000</v>
      </c>
      <c r="D4" s="6">
        <v>20000</v>
      </c>
      <c r="E4" s="13" t="s">
        <v>72</v>
      </c>
      <c r="F4" s="13" t="s">
        <v>72</v>
      </c>
      <c r="G4" s="1" t="s">
        <v>10</v>
      </c>
      <c r="H4" s="12" t="s">
        <v>65</v>
      </c>
      <c r="I4" s="1">
        <v>20</v>
      </c>
      <c r="J4" s="1">
        <v>320</v>
      </c>
      <c r="K4" s="12" t="s">
        <v>92</v>
      </c>
      <c r="L4" s="12">
        <v>1</v>
      </c>
      <c r="M4" s="36">
        <v>70</v>
      </c>
      <c r="N4" s="8">
        <v>-30</v>
      </c>
      <c r="O4" s="10" t="s">
        <v>41</v>
      </c>
      <c r="P4" s="11">
        <f xml:space="preserve"> ROUNDUP(J4 / Q4, 0)</f>
        <v>13</v>
      </c>
      <c r="Q4" s="11">
        <v>25</v>
      </c>
      <c r="R4" s="21">
        <v>7.5</v>
      </c>
      <c r="S4" s="54">
        <v>0</v>
      </c>
      <c r="T4" s="24">
        <f xml:space="preserve"> (N4 * J4) * S4</f>
        <v>0</v>
      </c>
      <c r="U4" s="24">
        <f xml:space="preserve"> P4 * (R4 * I4) + T4</f>
        <v>1950</v>
      </c>
      <c r="V4" s="23">
        <f xml:space="preserve"> N4 * J4</f>
        <v>-9600</v>
      </c>
    </row>
    <row r="5" spans="1:31" ht="12.75" x14ac:dyDescent="0.2">
      <c r="B5" s="4" t="s">
        <v>11</v>
      </c>
      <c r="C5" s="6">
        <v>40000</v>
      </c>
      <c r="D5" s="6">
        <v>30000</v>
      </c>
      <c r="E5" s="13" t="s">
        <v>72</v>
      </c>
      <c r="F5" s="13" t="s">
        <v>74</v>
      </c>
      <c r="G5" s="12" t="s">
        <v>46</v>
      </c>
      <c r="H5" s="12" t="s">
        <v>66</v>
      </c>
      <c r="I5" s="1">
        <v>235</v>
      </c>
      <c r="J5" s="1">
        <v>278</v>
      </c>
      <c r="K5" s="12" t="s">
        <v>92</v>
      </c>
      <c r="L5" s="12">
        <v>1</v>
      </c>
      <c r="M5" s="36">
        <v>90</v>
      </c>
      <c r="N5" s="8">
        <v>20</v>
      </c>
      <c r="O5" s="10" t="s">
        <v>47</v>
      </c>
      <c r="P5" s="11">
        <f xml:space="preserve"> ROUNDUP(J5 / Q5, 0)</f>
        <v>14</v>
      </c>
      <c r="Q5" s="11">
        <v>20</v>
      </c>
      <c r="R5" s="21">
        <v>6.5</v>
      </c>
      <c r="S5" s="54">
        <v>0.12</v>
      </c>
      <c r="T5" s="24">
        <f xml:space="preserve"> (N5 * J5) * S5</f>
        <v>667.19999999999993</v>
      </c>
      <c r="U5" s="24">
        <f xml:space="preserve"> P5 * (R5 * I5) + T5</f>
        <v>22052.2</v>
      </c>
      <c r="V5" s="23">
        <f xml:space="preserve"> N5 * J5</f>
        <v>5560</v>
      </c>
    </row>
    <row r="6" spans="1:31" ht="12.75" x14ac:dyDescent="0.2">
      <c r="B6" s="4" t="s">
        <v>12</v>
      </c>
      <c r="C6" s="6">
        <v>40000</v>
      </c>
      <c r="D6" s="6">
        <v>40000</v>
      </c>
      <c r="E6" s="13" t="s">
        <v>72</v>
      </c>
      <c r="F6" s="13" t="s">
        <v>73</v>
      </c>
      <c r="G6" s="1" t="s">
        <v>13</v>
      </c>
      <c r="H6" s="12" t="s">
        <v>67</v>
      </c>
      <c r="I6" s="1">
        <v>560</v>
      </c>
      <c r="J6" s="1">
        <v>300</v>
      </c>
      <c r="K6" s="12" t="s">
        <v>93</v>
      </c>
      <c r="L6" s="28">
        <v>1</v>
      </c>
      <c r="M6" s="36">
        <v>120</v>
      </c>
      <c r="N6" s="8">
        <v>60</v>
      </c>
      <c r="O6" s="10" t="s">
        <v>45</v>
      </c>
      <c r="P6" s="11">
        <f xml:space="preserve"> ROUNDUP(J6 / Q6, 0)</f>
        <v>11</v>
      </c>
      <c r="Q6" s="10">
        <v>27.5</v>
      </c>
      <c r="R6" s="22">
        <v>6</v>
      </c>
      <c r="S6" s="54">
        <v>0.12</v>
      </c>
      <c r="T6" s="24">
        <f xml:space="preserve"> (N6 * J6) * S6</f>
        <v>2160</v>
      </c>
      <c r="U6" s="24">
        <f xml:space="preserve"> P6 * (R6 * I6) + T6</f>
        <v>39120</v>
      </c>
      <c r="V6" s="23">
        <f xml:space="preserve"> N6 * J6</f>
        <v>18000</v>
      </c>
    </row>
    <row r="7" spans="1:31" ht="15.75" customHeight="1" x14ac:dyDescent="0.2">
      <c r="L7" s="12"/>
    </row>
    <row r="8" spans="1:31" ht="12.75" x14ac:dyDescent="0.2">
      <c r="C8" s="70" t="s">
        <v>14</v>
      </c>
      <c r="D8" s="71"/>
      <c r="E8" s="74" t="s">
        <v>15</v>
      </c>
      <c r="F8" s="74"/>
      <c r="G8" s="74"/>
      <c r="H8" s="74"/>
      <c r="J8" s="10" t="s">
        <v>53</v>
      </c>
    </row>
    <row r="9" spans="1:31" ht="12.75" x14ac:dyDescent="0.2">
      <c r="C9" s="42" t="s">
        <v>16</v>
      </c>
      <c r="D9" s="43" t="s">
        <v>30</v>
      </c>
      <c r="E9" s="42" t="s">
        <v>16</v>
      </c>
      <c r="F9" s="42" t="s">
        <v>17</v>
      </c>
      <c r="G9" s="42" t="s">
        <v>18</v>
      </c>
      <c r="H9" s="43" t="s">
        <v>61</v>
      </c>
    </row>
    <row r="10" spans="1:31" ht="12.75" x14ac:dyDescent="0.2">
      <c r="A10" s="25" t="s">
        <v>56</v>
      </c>
      <c r="B10" s="26" t="s">
        <v>57</v>
      </c>
      <c r="C10" s="8">
        <f xml:space="preserve"> (E10 + C16 + H16 + C22) * 30%</f>
        <v>41025000</v>
      </c>
      <c r="D10" s="8">
        <f xml:space="preserve"> (F10+D16+I16) * 50%</f>
        <v>4122500</v>
      </c>
      <c r="E10" s="8">
        <f>D4*2701.5</f>
        <v>54030000</v>
      </c>
      <c r="F10" s="8">
        <v>2080000</v>
      </c>
      <c r="G10" s="35">
        <v>0.7</v>
      </c>
      <c r="H10" s="33">
        <f xml:space="preserve"> MIN(C4, (J4*M4*G10)/0.65)</f>
        <v>24123.076923076918</v>
      </c>
    </row>
    <row r="11" spans="1:31" ht="12.75" x14ac:dyDescent="0.2">
      <c r="A11" s="24">
        <f>E10+C16+H16+C22+C10</f>
        <v>177775000</v>
      </c>
      <c r="B11" s="23">
        <f xml:space="preserve"> F10 + D16 + I16 + D10</f>
        <v>12367500</v>
      </c>
      <c r="C11" s="8">
        <f xml:space="preserve"> (E11 + C17 + H17 + C23) * 30%</f>
        <v>54529500</v>
      </c>
      <c r="D11" s="8">
        <f xml:space="preserve"> (F11+D17+I17) * 50%</f>
        <v>2892500</v>
      </c>
      <c r="E11" s="8">
        <f>D5*2701.5</f>
        <v>81045000</v>
      </c>
      <c r="F11" s="8">
        <v>2080000</v>
      </c>
      <c r="G11" s="35">
        <v>0.7</v>
      </c>
      <c r="H11" s="33">
        <f xml:space="preserve"> MIN(C5, (J5*M5*G11)/0.65)</f>
        <v>26944.615384615383</v>
      </c>
    </row>
    <row r="12" spans="1:31" ht="12.75" x14ac:dyDescent="0.2">
      <c r="A12" s="24">
        <f>E11+C17+H17+C23+C11</f>
        <v>236294500</v>
      </c>
      <c r="B12" s="23">
        <f xml:space="preserve"> F11 + D17 + I17 + D11</f>
        <v>8677500</v>
      </c>
      <c r="C12" s="8">
        <f xml:space="preserve"> (E12 + C18 + H18 + C24) * 30%</f>
        <v>58794000</v>
      </c>
      <c r="D12" s="8">
        <f xml:space="preserve"> (F12+D18+I18) * 50%</f>
        <v>3627500</v>
      </c>
      <c r="E12" s="8">
        <f>D6*2701.5</f>
        <v>108060000</v>
      </c>
      <c r="F12" s="8">
        <v>2080000</v>
      </c>
      <c r="G12" s="35">
        <v>0.7</v>
      </c>
      <c r="H12" s="33">
        <f xml:space="preserve"> MIN(C6, (J6*M6*G12)/0.65)</f>
        <v>38769.230769230766</v>
      </c>
    </row>
    <row r="13" spans="1:31" ht="15.75" customHeight="1" x14ac:dyDescent="0.2">
      <c r="A13" s="24">
        <f>E12+C18+H18+C24+C12</f>
        <v>254774000</v>
      </c>
      <c r="B13" s="23">
        <f xml:space="preserve"> F12 + D18 + I18 + D12</f>
        <v>10882500</v>
      </c>
    </row>
    <row r="14" spans="1:31" ht="12.75" x14ac:dyDescent="0.2">
      <c r="C14" s="76" t="s">
        <v>19</v>
      </c>
      <c r="D14" s="76"/>
      <c r="E14" s="76"/>
      <c r="F14" s="76"/>
      <c r="G14" s="76"/>
      <c r="H14" s="75" t="s">
        <v>20</v>
      </c>
      <c r="I14" s="75"/>
      <c r="J14" s="75"/>
    </row>
    <row r="15" spans="1:31" ht="12.75" x14ac:dyDescent="0.2">
      <c r="C15" s="43" t="s">
        <v>44</v>
      </c>
      <c r="D15" s="43" t="s">
        <v>30</v>
      </c>
      <c r="E15" s="42" t="s">
        <v>18</v>
      </c>
      <c r="F15" s="42" t="s">
        <v>21</v>
      </c>
      <c r="G15" s="43" t="s">
        <v>63</v>
      </c>
      <c r="H15" s="43" t="s">
        <v>44</v>
      </c>
      <c r="I15" s="43" t="s">
        <v>30</v>
      </c>
      <c r="J15" s="42" t="s">
        <v>22</v>
      </c>
    </row>
    <row r="16" spans="1:31" ht="12.75" x14ac:dyDescent="0.2">
      <c r="C16" s="8">
        <v>15800000</v>
      </c>
      <c r="D16" s="8">
        <v>4690000</v>
      </c>
      <c r="E16" s="35">
        <v>0.94</v>
      </c>
      <c r="F16" s="1" t="s">
        <v>23</v>
      </c>
      <c r="G16" s="34">
        <f xml:space="preserve"> H10 * E16</f>
        <v>22675.692307692301</v>
      </c>
      <c r="H16" s="8">
        <v>32500000</v>
      </c>
      <c r="I16" s="17">
        <v>1475000</v>
      </c>
      <c r="J16" s="1" t="s">
        <v>24</v>
      </c>
    </row>
    <row r="17" spans="3:13" ht="12.75" x14ac:dyDescent="0.2">
      <c r="C17" s="8">
        <v>15800000</v>
      </c>
      <c r="D17" s="8">
        <v>2950000</v>
      </c>
      <c r="E17" s="35">
        <v>0.99</v>
      </c>
      <c r="F17" s="1" t="s">
        <v>25</v>
      </c>
      <c r="G17" s="34">
        <f xml:space="preserve"> H11 * E17</f>
        <v>26675.169230769228</v>
      </c>
      <c r="H17" s="8">
        <v>50500000</v>
      </c>
      <c r="I17" s="17">
        <v>755000</v>
      </c>
      <c r="J17" s="1" t="s">
        <v>26</v>
      </c>
    </row>
    <row r="18" spans="3:13" ht="12.75" x14ac:dyDescent="0.2">
      <c r="C18" s="8">
        <v>21000000</v>
      </c>
      <c r="D18" s="8">
        <v>3700000</v>
      </c>
      <c r="E18" s="35">
        <v>0.92</v>
      </c>
      <c r="F18" s="1" t="s">
        <v>27</v>
      </c>
      <c r="G18" s="34">
        <f xml:space="preserve"> H12 * E18</f>
        <v>35667.692307692305</v>
      </c>
      <c r="H18" s="8">
        <v>32500000</v>
      </c>
      <c r="I18" s="17">
        <v>1475000</v>
      </c>
      <c r="J18" s="1" t="s">
        <v>24</v>
      </c>
    </row>
    <row r="20" spans="3:13" ht="12.75" x14ac:dyDescent="0.2">
      <c r="C20" s="72" t="s">
        <v>28</v>
      </c>
      <c r="D20" s="71"/>
      <c r="E20" s="77" t="s">
        <v>29</v>
      </c>
      <c r="F20" s="71"/>
      <c r="G20" s="78" t="s">
        <v>70</v>
      </c>
      <c r="H20" s="78"/>
      <c r="I20" s="78"/>
      <c r="J20" s="78"/>
      <c r="K20" s="78"/>
      <c r="L20" s="78"/>
      <c r="M20" s="53"/>
    </row>
    <row r="21" spans="3:13" ht="12.75" x14ac:dyDescent="0.2">
      <c r="C21" s="44" t="s">
        <v>44</v>
      </c>
      <c r="D21" s="45" t="s">
        <v>219</v>
      </c>
      <c r="E21" s="46" t="s">
        <v>16</v>
      </c>
      <c r="F21" s="46" t="s">
        <v>30</v>
      </c>
      <c r="G21" s="43" t="s">
        <v>55</v>
      </c>
      <c r="H21" s="43" t="s">
        <v>88</v>
      </c>
      <c r="I21" s="43" t="s">
        <v>95</v>
      </c>
      <c r="J21" s="43" t="s">
        <v>96</v>
      </c>
      <c r="K21" s="41" t="s">
        <v>54</v>
      </c>
      <c r="L21" s="41" t="s">
        <v>89</v>
      </c>
    </row>
    <row r="22" spans="3:13" ht="12.75" x14ac:dyDescent="0.2">
      <c r="C22" s="8">
        <v>34420000</v>
      </c>
      <c r="D22" s="1">
        <v>120</v>
      </c>
      <c r="E22" s="7" t="s">
        <v>31</v>
      </c>
      <c r="F22" s="7" t="s">
        <v>31</v>
      </c>
      <c r="G22" s="18">
        <v>3.5</v>
      </c>
      <c r="H22" s="18">
        <f xml:space="preserve"> D4 * G22</f>
        <v>70000</v>
      </c>
      <c r="I22" s="40">
        <v>0.18</v>
      </c>
      <c r="J22" s="40">
        <v>0.18</v>
      </c>
      <c r="K22" s="23">
        <f xml:space="preserve"> H22 * MAX(I22,J22)</f>
        <v>12600</v>
      </c>
      <c r="L22" s="37">
        <f xml:space="preserve"> H22 - K22</f>
        <v>57400</v>
      </c>
    </row>
    <row r="23" spans="3:13" ht="12.75" x14ac:dyDescent="0.2">
      <c r="C23" s="8">
        <v>34420000</v>
      </c>
      <c r="D23" s="1">
        <v>120</v>
      </c>
      <c r="E23" s="7" t="s">
        <v>31</v>
      </c>
      <c r="F23" s="7" t="s">
        <v>31</v>
      </c>
      <c r="G23" s="18">
        <v>3.5</v>
      </c>
      <c r="H23" s="18">
        <f xml:space="preserve"> D5 * G23</f>
        <v>105000</v>
      </c>
      <c r="I23" s="40">
        <v>0.18</v>
      </c>
      <c r="J23" s="40">
        <v>0.19</v>
      </c>
      <c r="K23" s="23">
        <f xml:space="preserve"> H23 * MAX(I23,J23)</f>
        <v>19950</v>
      </c>
      <c r="L23" s="37">
        <f xml:space="preserve"> H23 - K23</f>
        <v>85050</v>
      </c>
    </row>
    <row r="24" spans="3:13" ht="12.75" x14ac:dyDescent="0.2">
      <c r="C24" s="8">
        <v>34420000</v>
      </c>
      <c r="D24" s="1">
        <v>120</v>
      </c>
      <c r="E24" s="7" t="s">
        <v>31</v>
      </c>
      <c r="F24" s="7" t="s">
        <v>31</v>
      </c>
      <c r="G24" s="18">
        <v>3.5</v>
      </c>
      <c r="H24" s="18">
        <f xml:space="preserve"> D6 * G24</f>
        <v>140000</v>
      </c>
      <c r="I24" s="40">
        <v>0.18</v>
      </c>
      <c r="J24" s="40">
        <v>0.18</v>
      </c>
      <c r="K24" s="23">
        <f xml:space="preserve"> H24 * MAX(I24,J24)</f>
        <v>25200</v>
      </c>
      <c r="L24" s="37">
        <f xml:space="preserve"> H24 - K24</f>
        <v>114800</v>
      </c>
    </row>
    <row r="26" spans="3:13" ht="12.75" x14ac:dyDescent="0.2">
      <c r="C26" s="82" t="s">
        <v>69</v>
      </c>
      <c r="D26" s="82"/>
      <c r="E26" s="82"/>
      <c r="F26" s="82"/>
      <c r="G26" s="82"/>
      <c r="H26" s="51"/>
      <c r="I26" s="51"/>
      <c r="J26" s="51"/>
      <c r="K26" s="51"/>
      <c r="L26" s="51"/>
      <c r="M26" s="51"/>
    </row>
    <row r="27" spans="3:13" ht="12.75" x14ac:dyDescent="0.2">
      <c r="C27" s="42" t="s">
        <v>33</v>
      </c>
      <c r="D27" s="43" t="s">
        <v>87</v>
      </c>
      <c r="E27" s="42" t="s">
        <v>35</v>
      </c>
      <c r="F27" s="43" t="s">
        <v>82</v>
      </c>
      <c r="G27" s="43" t="s">
        <v>52</v>
      </c>
    </row>
    <row r="28" spans="3:13" ht="12.75" x14ac:dyDescent="0.2">
      <c r="C28" s="1">
        <v>130</v>
      </c>
      <c r="D28" s="19">
        <f xml:space="preserve"> (C28 * 0.756)/150</f>
        <v>0.6552</v>
      </c>
      <c r="E28" s="1" t="s">
        <v>36</v>
      </c>
      <c r="F28" s="12" t="s">
        <v>84</v>
      </c>
      <c r="G28" s="24">
        <f xml:space="preserve"> (D4 * D28)</f>
        <v>13104</v>
      </c>
    </row>
    <row r="29" spans="3:13" ht="12.75" x14ac:dyDescent="0.2">
      <c r="C29" s="1">
        <v>750</v>
      </c>
      <c r="D29" s="19">
        <f xml:space="preserve"> (C29 * 0.378)/800</f>
        <v>0.354375</v>
      </c>
      <c r="E29" s="1" t="s">
        <v>36</v>
      </c>
      <c r="F29" s="12" t="s">
        <v>84</v>
      </c>
      <c r="G29" s="24">
        <f xml:space="preserve"> (D5 * D29)</f>
        <v>10631.25</v>
      </c>
    </row>
    <row r="30" spans="3:13" ht="12.75" x14ac:dyDescent="0.2">
      <c r="C30" s="1">
        <v>100</v>
      </c>
      <c r="D30" s="19">
        <v>0.5</v>
      </c>
      <c r="E30" s="1" t="s">
        <v>37</v>
      </c>
      <c r="F30" s="12" t="s">
        <v>83</v>
      </c>
      <c r="G30" s="24">
        <f xml:space="preserve"> (D6 * D30)</f>
        <v>20000</v>
      </c>
    </row>
    <row r="31" spans="3:13" ht="15.75" customHeight="1" x14ac:dyDescent="0.2">
      <c r="F31" s="8"/>
    </row>
    <row r="32" spans="3:13" ht="15.75" customHeight="1" x14ac:dyDescent="0.2">
      <c r="C32" s="9"/>
      <c r="D32" s="9"/>
      <c r="E32" s="9"/>
      <c r="F32" s="16"/>
      <c r="G32" s="16"/>
    </row>
    <row r="33" spans="3:10" ht="15.75" customHeight="1" x14ac:dyDescent="0.2">
      <c r="C33" s="9"/>
      <c r="F33" s="14"/>
      <c r="G33" s="13"/>
    </row>
    <row r="34" spans="3:10" ht="15.75" customHeight="1" x14ac:dyDescent="0.2">
      <c r="G34" s="11"/>
      <c r="H34" s="11"/>
    </row>
    <row r="35" spans="3:10" ht="15.75" customHeight="1" x14ac:dyDescent="0.2">
      <c r="G35" s="11"/>
      <c r="H35" s="11"/>
    </row>
    <row r="36" spans="3:10" ht="15.75" customHeight="1" x14ac:dyDescent="0.2">
      <c r="C36" s="11"/>
      <c r="D36" s="11"/>
      <c r="E36" s="11"/>
      <c r="F36" s="11"/>
      <c r="G36" s="11"/>
      <c r="H36" s="11"/>
    </row>
    <row r="37" spans="3:10" ht="15.75" customHeight="1" x14ac:dyDescent="0.2">
      <c r="G37" s="38" t="s">
        <v>76</v>
      </c>
    </row>
    <row r="38" spans="3:10" ht="15.75" customHeight="1" x14ac:dyDescent="0.2">
      <c r="G38" s="81" t="s">
        <v>77</v>
      </c>
      <c r="H38" s="81"/>
      <c r="I38" s="81"/>
      <c r="J38" s="81"/>
    </row>
    <row r="40" spans="3:10" ht="15.75" customHeight="1" x14ac:dyDescent="0.2">
      <c r="G40" s="38" t="s">
        <v>78</v>
      </c>
    </row>
    <row r="41" spans="3:10" ht="15.75" customHeight="1" x14ac:dyDescent="0.2">
      <c r="G41" s="81" t="s">
        <v>79</v>
      </c>
      <c r="H41" s="81"/>
      <c r="I41" s="81"/>
      <c r="J41" s="81"/>
    </row>
    <row r="43" spans="3:10" ht="15.75" customHeight="1" x14ac:dyDescent="0.2">
      <c r="G43" s="39" t="s">
        <v>80</v>
      </c>
    </row>
    <row r="44" spans="3:10" ht="15.75" customHeight="1" x14ac:dyDescent="0.2">
      <c r="G44" s="81" t="s">
        <v>81</v>
      </c>
      <c r="H44" s="81"/>
      <c r="I44" s="81"/>
      <c r="J44" s="81"/>
    </row>
    <row r="79" spans="2:6" ht="15.75" customHeight="1" x14ac:dyDescent="0.2">
      <c r="B79" s="79" t="s">
        <v>75</v>
      </c>
      <c r="C79" s="80"/>
      <c r="D79" s="80"/>
      <c r="E79" s="80"/>
      <c r="F79" s="80"/>
    </row>
  </sheetData>
  <mergeCells count="14">
    <mergeCell ref="B79:F79"/>
    <mergeCell ref="G38:J38"/>
    <mergeCell ref="G41:J41"/>
    <mergeCell ref="G44:J44"/>
    <mergeCell ref="C26:G26"/>
    <mergeCell ref="C8:D8"/>
    <mergeCell ref="C20:D20"/>
    <mergeCell ref="C2:F2"/>
    <mergeCell ref="E8:H8"/>
    <mergeCell ref="H14:J14"/>
    <mergeCell ref="C14:G14"/>
    <mergeCell ref="E20:F20"/>
    <mergeCell ref="G20:L20"/>
    <mergeCell ref="G2:V2"/>
  </mergeCells>
  <hyperlinks>
    <hyperlink ref="B79" r:id="rId1" location="qual-a-tabela-de-icms-por-estado?" xr:uid="{B05350B5-17E1-431D-9EAB-9C7CA3A8E8BB}"/>
  </hyperlinks>
  <pageMargins left="0.511811024" right="0.511811024" top="0.78740157499999996" bottom="0.78740157499999996" header="0.31496062000000002" footer="0.31496062000000002"/>
  <pageSetup paperSize="9" orientation="portrait" r:id="rId2"/>
  <ignoredErrors>
    <ignoredError sqref="D29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F47F9-1843-4DDD-86D8-C6EAED213E5D}">
  <dimension ref="D4:L60"/>
  <sheetViews>
    <sheetView workbookViewId="0">
      <selection activeCell="F17" sqref="F17"/>
    </sheetView>
  </sheetViews>
  <sheetFormatPr defaultRowHeight="12.75" x14ac:dyDescent="0.2"/>
  <cols>
    <col min="4" max="4" width="30" customWidth="1"/>
    <col min="5" max="5" width="49.5703125" customWidth="1"/>
    <col min="6" max="6" width="63.42578125" customWidth="1"/>
    <col min="7" max="7" width="53.85546875" customWidth="1"/>
    <col min="10" max="10" width="16.42578125" customWidth="1"/>
    <col min="11" max="11" width="37.85546875" customWidth="1"/>
    <col min="12" max="12" width="36.28515625" customWidth="1"/>
  </cols>
  <sheetData>
    <row r="4" spans="4:12" x14ac:dyDescent="0.2">
      <c r="D4" s="83" t="s">
        <v>168</v>
      </c>
      <c r="E4" s="83"/>
      <c r="F4" s="83"/>
      <c r="G4" s="83"/>
      <c r="J4" s="68" t="s">
        <v>175</v>
      </c>
      <c r="K4" s="68" t="s">
        <v>176</v>
      </c>
      <c r="L4" s="68" t="s">
        <v>177</v>
      </c>
    </row>
    <row r="5" spans="4:12" ht="25.5" x14ac:dyDescent="0.2">
      <c r="D5" s="84" t="s">
        <v>169</v>
      </c>
      <c r="E5" s="85"/>
      <c r="F5" s="85"/>
      <c r="G5" s="85"/>
      <c r="J5" s="66" t="s">
        <v>178</v>
      </c>
      <c r="K5" s="67" t="s">
        <v>179</v>
      </c>
      <c r="L5" s="67" t="s">
        <v>180</v>
      </c>
    </row>
    <row r="6" spans="4:12" ht="25.5" x14ac:dyDescent="0.2">
      <c r="J6" s="66" t="s">
        <v>181</v>
      </c>
      <c r="K6" s="67" t="s">
        <v>183</v>
      </c>
      <c r="L6" s="67" t="s">
        <v>182</v>
      </c>
    </row>
    <row r="8" spans="4:12" ht="25.5" x14ac:dyDescent="0.2">
      <c r="D8" s="26" t="s">
        <v>116</v>
      </c>
      <c r="E8" s="26" t="s">
        <v>117</v>
      </c>
      <c r="F8" s="26" t="s">
        <v>118</v>
      </c>
      <c r="G8" s="26" t="s">
        <v>149</v>
      </c>
      <c r="J8" s="68" t="s">
        <v>184</v>
      </c>
      <c r="K8" s="68" t="s">
        <v>185</v>
      </c>
    </row>
    <row r="9" spans="4:12" ht="25.5" x14ac:dyDescent="0.2">
      <c r="D9" s="60" t="s">
        <v>119</v>
      </c>
      <c r="E9" s="60" t="s">
        <v>166</v>
      </c>
      <c r="F9" s="60" t="s">
        <v>120</v>
      </c>
      <c r="G9" s="60" t="s">
        <v>150</v>
      </c>
      <c r="J9" s="66" t="s">
        <v>186</v>
      </c>
      <c r="K9" s="67" t="s">
        <v>188</v>
      </c>
    </row>
    <row r="10" spans="4:12" x14ac:dyDescent="0.2">
      <c r="D10" s="60" t="s">
        <v>121</v>
      </c>
      <c r="E10" s="60" t="s">
        <v>165</v>
      </c>
      <c r="F10" s="60" t="s">
        <v>120</v>
      </c>
      <c r="G10" s="60" t="s">
        <v>150</v>
      </c>
      <c r="J10" s="66" t="s">
        <v>187</v>
      </c>
      <c r="K10" s="67" t="s">
        <v>189</v>
      </c>
    </row>
    <row r="11" spans="4:12" x14ac:dyDescent="0.2">
      <c r="D11" s="60" t="s">
        <v>122</v>
      </c>
      <c r="E11" s="60" t="s">
        <v>165</v>
      </c>
      <c r="F11" s="60" t="s">
        <v>120</v>
      </c>
      <c r="G11" s="60" t="s">
        <v>150</v>
      </c>
      <c r="J11" s="66"/>
      <c r="K11" s="67"/>
    </row>
    <row r="12" spans="4:12" ht="38.25" x14ac:dyDescent="0.2">
      <c r="D12" s="60" t="s">
        <v>123</v>
      </c>
      <c r="E12" s="60" t="s">
        <v>164</v>
      </c>
      <c r="F12" s="64" t="s">
        <v>200</v>
      </c>
      <c r="G12" s="61" t="s">
        <v>167</v>
      </c>
      <c r="J12" s="66"/>
      <c r="K12" s="67"/>
    </row>
    <row r="13" spans="4:12" ht="51" x14ac:dyDescent="0.2">
      <c r="D13" s="60" t="s">
        <v>124</v>
      </c>
      <c r="E13" s="64" t="s">
        <v>205</v>
      </c>
      <c r="F13" s="64" t="s">
        <v>174</v>
      </c>
      <c r="G13" s="61" t="s">
        <v>173</v>
      </c>
      <c r="J13" s="86" t="s">
        <v>190</v>
      </c>
      <c r="K13" s="86"/>
      <c r="L13" s="86"/>
    </row>
    <row r="14" spans="4:12" x14ac:dyDescent="0.2">
      <c r="D14" s="60" t="s">
        <v>125</v>
      </c>
      <c r="E14" s="60" t="s">
        <v>206</v>
      </c>
      <c r="F14" s="60" t="s">
        <v>120</v>
      </c>
      <c r="G14" s="60" t="s">
        <v>150</v>
      </c>
      <c r="J14" s="9" t="s">
        <v>194</v>
      </c>
    </row>
    <row r="15" spans="4:12" x14ac:dyDescent="0.2">
      <c r="D15" s="60" t="s">
        <v>126</v>
      </c>
      <c r="E15" s="60" t="s">
        <v>206</v>
      </c>
      <c r="F15" s="60" t="s">
        <v>120</v>
      </c>
      <c r="G15" s="60" t="s">
        <v>150</v>
      </c>
      <c r="J15" s="9" t="s">
        <v>191</v>
      </c>
    </row>
    <row r="16" spans="4:12" ht="38.25" x14ac:dyDescent="0.2">
      <c r="D16" s="60" t="s">
        <v>127</v>
      </c>
      <c r="E16" s="64" t="s">
        <v>204</v>
      </c>
      <c r="F16" s="60" t="s">
        <v>174</v>
      </c>
      <c r="G16" s="61" t="s">
        <v>172</v>
      </c>
      <c r="J16" s="88" t="s">
        <v>197</v>
      </c>
      <c r="K16" s="88"/>
    </row>
    <row r="17" spans="4:12" ht="38.25" x14ac:dyDescent="0.2">
      <c r="D17" s="60" t="s">
        <v>128</v>
      </c>
      <c r="E17" s="60" t="s">
        <v>217</v>
      </c>
      <c r="F17" s="60" t="s">
        <v>174</v>
      </c>
      <c r="G17" s="61" t="s">
        <v>218</v>
      </c>
      <c r="J17" s="87" t="s">
        <v>198</v>
      </c>
      <c r="K17" s="81"/>
    </row>
    <row r="18" spans="4:12" x14ac:dyDescent="0.2">
      <c r="D18" s="60" t="s">
        <v>129</v>
      </c>
      <c r="E18" s="60" t="s">
        <v>207</v>
      </c>
      <c r="F18" s="60" t="s">
        <v>120</v>
      </c>
      <c r="G18" s="60" t="s">
        <v>150</v>
      </c>
      <c r="J18" s="66" t="s">
        <v>192</v>
      </c>
      <c r="K18" s="67" t="s">
        <v>196</v>
      </c>
    </row>
    <row r="19" spans="4:12" x14ac:dyDescent="0.2">
      <c r="D19" s="60" t="s">
        <v>130</v>
      </c>
      <c r="E19" s="60" t="s">
        <v>208</v>
      </c>
      <c r="F19" s="60" t="s">
        <v>120</v>
      </c>
      <c r="G19" s="60" t="s">
        <v>150</v>
      </c>
      <c r="J19" s="66" t="s">
        <v>193</v>
      </c>
      <c r="K19" s="67" t="s">
        <v>195</v>
      </c>
    </row>
    <row r="20" spans="4:12" ht="38.25" x14ac:dyDescent="0.2">
      <c r="D20" s="60" t="s">
        <v>131</v>
      </c>
      <c r="E20" s="64" t="s">
        <v>170</v>
      </c>
      <c r="F20" s="64" t="s">
        <v>174</v>
      </c>
      <c r="G20" s="61" t="s">
        <v>171</v>
      </c>
    </row>
    <row r="21" spans="4:12" ht="25.5" x14ac:dyDescent="0.2">
      <c r="D21" s="60" t="s">
        <v>132</v>
      </c>
      <c r="E21" s="60" t="s">
        <v>133</v>
      </c>
      <c r="F21" s="60" t="s">
        <v>134</v>
      </c>
      <c r="G21" s="60" t="s">
        <v>150</v>
      </c>
    </row>
    <row r="22" spans="4:12" x14ac:dyDescent="0.2">
      <c r="D22" s="60" t="s">
        <v>135</v>
      </c>
      <c r="E22" s="60" t="s">
        <v>209</v>
      </c>
      <c r="F22" s="60" t="s">
        <v>120</v>
      </c>
      <c r="G22" s="60" t="s">
        <v>150</v>
      </c>
      <c r="J22" s="65"/>
      <c r="K22" s="65"/>
      <c r="L22" s="65"/>
    </row>
    <row r="23" spans="4:12" x14ac:dyDescent="0.2">
      <c r="D23" s="60" t="s">
        <v>136</v>
      </c>
      <c r="E23" s="60" t="s">
        <v>206</v>
      </c>
      <c r="F23" s="60" t="s">
        <v>120</v>
      </c>
      <c r="G23" s="60" t="s">
        <v>150</v>
      </c>
      <c r="L23" s="69"/>
    </row>
    <row r="24" spans="4:12" ht="51" customHeight="1" x14ac:dyDescent="0.2">
      <c r="D24" s="60" t="s">
        <v>137</v>
      </c>
      <c r="E24" s="64" t="s">
        <v>199</v>
      </c>
      <c r="F24" s="60" t="s">
        <v>174</v>
      </c>
      <c r="G24" s="61" t="s">
        <v>203</v>
      </c>
      <c r="L24" s="69"/>
    </row>
    <row r="25" spans="4:12" x14ac:dyDescent="0.2">
      <c r="D25" s="60" t="s">
        <v>138</v>
      </c>
      <c r="E25" s="60" t="s">
        <v>210</v>
      </c>
      <c r="F25" s="60" t="s">
        <v>120</v>
      </c>
      <c r="G25" s="60" t="s">
        <v>150</v>
      </c>
      <c r="J25" s="66"/>
      <c r="K25" s="69"/>
    </row>
    <row r="26" spans="4:12" x14ac:dyDescent="0.2">
      <c r="D26" s="60" t="s">
        <v>139</v>
      </c>
      <c r="E26" s="60" t="s">
        <v>211</v>
      </c>
      <c r="F26" s="60" t="s">
        <v>120</v>
      </c>
      <c r="G26" s="60" t="s">
        <v>150</v>
      </c>
    </row>
    <row r="27" spans="4:12" ht="38.25" x14ac:dyDescent="0.2">
      <c r="D27" s="60" t="s">
        <v>140</v>
      </c>
      <c r="E27" s="60" t="s">
        <v>206</v>
      </c>
      <c r="F27" s="60" t="s">
        <v>216</v>
      </c>
      <c r="G27" s="61" t="s">
        <v>201</v>
      </c>
    </row>
    <row r="28" spans="4:12" x14ac:dyDescent="0.2">
      <c r="D28" s="60" t="s">
        <v>141</v>
      </c>
      <c r="E28" s="60" t="s">
        <v>206</v>
      </c>
      <c r="F28" s="60" t="s">
        <v>120</v>
      </c>
      <c r="G28" s="60" t="s">
        <v>150</v>
      </c>
    </row>
    <row r="29" spans="4:12" x14ac:dyDescent="0.2">
      <c r="D29" s="60" t="s">
        <v>142</v>
      </c>
      <c r="E29" s="60" t="s">
        <v>208</v>
      </c>
      <c r="F29" s="60" t="s">
        <v>120</v>
      </c>
      <c r="G29" s="60" t="s">
        <v>150</v>
      </c>
    </row>
    <row r="30" spans="4:12" x14ac:dyDescent="0.2">
      <c r="D30" s="60" t="s">
        <v>143</v>
      </c>
      <c r="E30" s="60" t="s">
        <v>212</v>
      </c>
      <c r="F30" s="60" t="s">
        <v>120</v>
      </c>
      <c r="G30" s="60" t="s">
        <v>150</v>
      </c>
    </row>
    <row r="31" spans="4:12" x14ac:dyDescent="0.2">
      <c r="D31" s="60" t="s">
        <v>144</v>
      </c>
      <c r="E31" s="60" t="s">
        <v>206</v>
      </c>
      <c r="F31" s="60" t="s">
        <v>120</v>
      </c>
      <c r="G31" s="60" t="s">
        <v>150</v>
      </c>
    </row>
    <row r="32" spans="4:12" x14ac:dyDescent="0.2">
      <c r="D32" s="60" t="s">
        <v>145</v>
      </c>
      <c r="E32" s="60" t="s">
        <v>208</v>
      </c>
      <c r="F32" s="60" t="s">
        <v>213</v>
      </c>
      <c r="G32" s="61" t="s">
        <v>214</v>
      </c>
    </row>
    <row r="33" spans="4:12" ht="25.5" x14ac:dyDescent="0.2">
      <c r="D33" s="60" t="s">
        <v>146</v>
      </c>
      <c r="E33" s="60" t="s">
        <v>215</v>
      </c>
      <c r="F33" s="60" t="s">
        <v>174</v>
      </c>
      <c r="G33" s="61" t="s">
        <v>202</v>
      </c>
    </row>
    <row r="34" spans="4:12" x14ac:dyDescent="0.2">
      <c r="D34" s="60" t="s">
        <v>147</v>
      </c>
      <c r="E34" s="60" t="s">
        <v>206</v>
      </c>
      <c r="F34" s="60" t="s">
        <v>120</v>
      </c>
      <c r="G34" s="60" t="s">
        <v>150</v>
      </c>
    </row>
    <row r="35" spans="4:12" x14ac:dyDescent="0.2">
      <c r="D35" s="60" t="s">
        <v>148</v>
      </c>
      <c r="E35" s="60" t="s">
        <v>206</v>
      </c>
      <c r="F35" s="60" t="s">
        <v>120</v>
      </c>
      <c r="G35" s="60" t="s">
        <v>150</v>
      </c>
    </row>
    <row r="36" spans="4:12" x14ac:dyDescent="0.2">
      <c r="D36" s="28"/>
      <c r="E36" s="28"/>
      <c r="F36" s="28"/>
    </row>
    <row r="37" spans="4:12" x14ac:dyDescent="0.2">
      <c r="D37" s="28"/>
      <c r="E37" s="60"/>
      <c r="F37" s="28"/>
    </row>
    <row r="38" spans="4:12" x14ac:dyDescent="0.2">
      <c r="D38" s="28"/>
      <c r="E38" s="28"/>
      <c r="F38" s="28"/>
    </row>
    <row r="39" spans="4:12" x14ac:dyDescent="0.2">
      <c r="D39" s="28"/>
      <c r="E39" s="28"/>
      <c r="F39" s="28"/>
      <c r="H39" s="62" t="s">
        <v>151</v>
      </c>
      <c r="I39" s="62"/>
      <c r="J39" s="62"/>
      <c r="K39" s="62"/>
      <c r="L39" s="62"/>
    </row>
    <row r="40" spans="4:12" x14ac:dyDescent="0.2">
      <c r="D40" s="28"/>
      <c r="E40" s="28"/>
      <c r="F40" s="28"/>
      <c r="H40" s="62"/>
      <c r="I40" s="62"/>
      <c r="J40" s="62"/>
      <c r="K40" s="62"/>
      <c r="L40" s="62"/>
    </row>
    <row r="41" spans="4:12" x14ac:dyDescent="0.2">
      <c r="D41" s="28"/>
      <c r="E41" s="28"/>
      <c r="F41" s="28"/>
      <c r="H41" s="62" t="s">
        <v>152</v>
      </c>
      <c r="I41" s="62"/>
      <c r="J41" s="62"/>
      <c r="K41" s="62"/>
      <c r="L41" s="62"/>
    </row>
    <row r="42" spans="4:12" x14ac:dyDescent="0.2">
      <c r="H42" s="62"/>
      <c r="I42" s="62"/>
      <c r="J42" s="62"/>
      <c r="K42" s="62"/>
      <c r="L42" s="62"/>
    </row>
    <row r="43" spans="4:12" x14ac:dyDescent="0.2">
      <c r="H43" s="62" t="s">
        <v>153</v>
      </c>
      <c r="I43" s="62"/>
      <c r="J43" s="62"/>
      <c r="K43" s="62"/>
      <c r="L43" s="62"/>
    </row>
    <row r="44" spans="4:12" x14ac:dyDescent="0.2">
      <c r="H44" s="62"/>
      <c r="I44" s="62"/>
      <c r="J44" s="62"/>
      <c r="K44" s="62"/>
      <c r="L44" s="62"/>
    </row>
    <row r="45" spans="4:12" x14ac:dyDescent="0.2">
      <c r="H45" s="62" t="s">
        <v>154</v>
      </c>
      <c r="I45" s="62"/>
      <c r="J45" s="62"/>
      <c r="K45" s="62"/>
      <c r="L45" s="62"/>
    </row>
    <row r="46" spans="4:12" x14ac:dyDescent="0.2">
      <c r="H46" s="62"/>
      <c r="I46" s="62"/>
      <c r="J46" s="62"/>
      <c r="K46" s="62"/>
      <c r="L46" s="62"/>
    </row>
    <row r="47" spans="4:12" ht="17.25" customHeight="1" x14ac:dyDescent="0.2">
      <c r="H47" s="63" t="s">
        <v>155</v>
      </c>
      <c r="I47" s="62"/>
      <c r="J47" s="62"/>
      <c r="K47" s="62"/>
      <c r="L47" s="62"/>
    </row>
    <row r="48" spans="4:12" x14ac:dyDescent="0.2">
      <c r="H48" s="62"/>
      <c r="I48" s="62"/>
      <c r="J48" s="62"/>
      <c r="K48" s="62"/>
      <c r="L48" s="62"/>
    </row>
    <row r="49" spans="8:12" x14ac:dyDescent="0.2">
      <c r="H49" s="62" t="s">
        <v>156</v>
      </c>
      <c r="I49" s="62"/>
      <c r="J49" s="62"/>
      <c r="K49" s="62"/>
      <c r="L49" s="62"/>
    </row>
    <row r="50" spans="8:12" x14ac:dyDescent="0.2">
      <c r="H50" s="62"/>
      <c r="I50" s="62"/>
      <c r="J50" s="62"/>
      <c r="K50" s="62"/>
      <c r="L50" s="62"/>
    </row>
    <row r="51" spans="8:12" ht="17.25" customHeight="1" x14ac:dyDescent="0.2">
      <c r="H51" s="63" t="s">
        <v>157</v>
      </c>
      <c r="I51" s="62"/>
      <c r="J51" s="62"/>
      <c r="K51" s="62"/>
      <c r="L51" s="62"/>
    </row>
    <row r="52" spans="8:12" x14ac:dyDescent="0.2">
      <c r="H52" s="62"/>
      <c r="I52" s="62"/>
      <c r="J52" s="62"/>
      <c r="K52" s="62"/>
      <c r="L52" s="62"/>
    </row>
    <row r="53" spans="8:12" x14ac:dyDescent="0.2">
      <c r="H53" s="62" t="s">
        <v>158</v>
      </c>
      <c r="I53" s="62"/>
      <c r="J53" s="62"/>
      <c r="K53" s="62"/>
      <c r="L53" s="62"/>
    </row>
    <row r="54" spans="8:12" x14ac:dyDescent="0.2">
      <c r="H54" s="62" t="s">
        <v>159</v>
      </c>
      <c r="I54" s="62"/>
      <c r="J54" s="62"/>
      <c r="K54" s="62"/>
      <c r="L54" s="62"/>
    </row>
    <row r="55" spans="8:12" x14ac:dyDescent="0.2">
      <c r="H55" s="62"/>
      <c r="I55" s="62"/>
      <c r="J55" s="62"/>
      <c r="K55" s="62"/>
      <c r="L55" s="62"/>
    </row>
    <row r="56" spans="8:12" x14ac:dyDescent="0.2">
      <c r="H56" s="62" t="s">
        <v>160</v>
      </c>
      <c r="I56" s="62"/>
      <c r="J56" s="62"/>
      <c r="K56" s="62"/>
      <c r="L56" s="62"/>
    </row>
    <row r="57" spans="8:12" x14ac:dyDescent="0.2">
      <c r="H57" s="62" t="s">
        <v>161</v>
      </c>
      <c r="I57" s="62"/>
      <c r="J57" s="62"/>
      <c r="K57" s="62"/>
      <c r="L57" s="62"/>
    </row>
    <row r="58" spans="8:12" x14ac:dyDescent="0.2">
      <c r="H58" s="62"/>
      <c r="I58" s="62"/>
      <c r="J58" s="62"/>
      <c r="K58" s="62"/>
      <c r="L58" s="62"/>
    </row>
    <row r="59" spans="8:12" x14ac:dyDescent="0.2">
      <c r="H59" s="62" t="s">
        <v>163</v>
      </c>
      <c r="I59" s="62"/>
      <c r="J59" s="62"/>
      <c r="K59" s="62"/>
      <c r="L59" s="62"/>
    </row>
    <row r="60" spans="8:12" x14ac:dyDescent="0.2">
      <c r="H60" s="62" t="s">
        <v>162</v>
      </c>
      <c r="I60" s="62"/>
      <c r="J60" s="62"/>
      <c r="K60" s="62"/>
      <c r="L60" s="62"/>
    </row>
  </sheetData>
  <mergeCells count="5">
    <mergeCell ref="D4:G4"/>
    <mergeCell ref="D5:G5"/>
    <mergeCell ref="J13:L13"/>
    <mergeCell ref="J17:K17"/>
    <mergeCell ref="J16:K16"/>
  </mergeCells>
  <hyperlinks>
    <hyperlink ref="G16" r:id="rId1" xr:uid="{629E41A6-A1EC-495D-9D18-7BDAD363F987}"/>
    <hyperlink ref="G20" r:id="rId2" xr:uid="{ED8E4356-4B4C-40E7-BA0B-AB0FDEDC83C4}"/>
    <hyperlink ref="G12" r:id="rId3" xr:uid="{414B26E0-3864-4423-B94D-7391A42C28B4}"/>
    <hyperlink ref="G13" r:id="rId4" xr:uid="{01BAD38D-431E-4B63-804E-A7F69A2B21F0}"/>
    <hyperlink ref="G27" r:id="rId5" xr:uid="{D4FBFD68-E164-48A2-92B9-DB0B8822530A}"/>
    <hyperlink ref="G33" r:id="rId6" xr:uid="{D2400C66-F25B-4CA8-B715-436DF92C870C}"/>
    <hyperlink ref="G24" r:id="rId7" xr:uid="{47DC8654-E902-4898-A5A6-F8EAFF458D7A}"/>
    <hyperlink ref="G32" r:id="rId8" xr:uid="{18252ABF-5467-489F-83B8-4CE125FD82CC}"/>
    <hyperlink ref="G17" r:id="rId9" xr:uid="{F6B28326-ACD9-4651-A5CD-1AC504ABDC19}"/>
  </hyperlinks>
  <pageMargins left="0.511811024" right="0.511811024" top="0.78740157499999996" bottom="0.78740157499999996" header="0.31496062000000002" footer="0.31496062000000002"/>
  <drawing r:id="rId1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6:E45"/>
  <sheetViews>
    <sheetView topLeftCell="A7" workbookViewId="0">
      <selection activeCell="E8" sqref="E8:E30"/>
    </sheetView>
  </sheetViews>
  <sheetFormatPr defaultColWidth="12.5703125" defaultRowHeight="12.75" x14ac:dyDescent="0.2"/>
  <cols>
    <col min="2" max="2" width="67.85546875" customWidth="1"/>
    <col min="3" max="3" width="44.140625" style="28" customWidth="1"/>
    <col min="4" max="4" width="76" style="28" customWidth="1"/>
    <col min="5" max="5" width="62.28515625" style="30" customWidth="1"/>
  </cols>
  <sheetData>
    <row r="6" spans="1:5" x14ac:dyDescent="0.2">
      <c r="A6" s="5"/>
      <c r="D6" s="29" t="s">
        <v>38</v>
      </c>
      <c r="E6" s="31" t="s">
        <v>39</v>
      </c>
    </row>
    <row r="7" spans="1:5" ht="51" x14ac:dyDescent="0.2">
      <c r="B7" s="93" t="s">
        <v>0</v>
      </c>
      <c r="C7" s="3" t="s">
        <v>3</v>
      </c>
      <c r="D7" s="32" t="s">
        <v>58</v>
      </c>
      <c r="E7" s="32" t="s">
        <v>59</v>
      </c>
    </row>
    <row r="8" spans="1:5" x14ac:dyDescent="0.2">
      <c r="B8" s="90"/>
      <c r="C8" s="3" t="s">
        <v>4</v>
      </c>
      <c r="D8" s="30"/>
    </row>
    <row r="9" spans="1:5" x14ac:dyDescent="0.2">
      <c r="B9" s="94" t="s">
        <v>1</v>
      </c>
      <c r="C9" s="15" t="s">
        <v>5</v>
      </c>
      <c r="D9" s="32" t="s">
        <v>60</v>
      </c>
    </row>
    <row r="10" spans="1:5" x14ac:dyDescent="0.2">
      <c r="B10" s="90"/>
      <c r="C10" s="3" t="s">
        <v>6</v>
      </c>
      <c r="D10" s="30"/>
    </row>
    <row r="11" spans="1:5" x14ac:dyDescent="0.2">
      <c r="B11" s="90"/>
      <c r="C11" s="20" t="s">
        <v>48</v>
      </c>
      <c r="D11" s="30"/>
    </row>
    <row r="12" spans="1:5" x14ac:dyDescent="0.2">
      <c r="B12" s="90"/>
      <c r="C12" s="3" t="s">
        <v>7</v>
      </c>
      <c r="D12" s="30"/>
    </row>
    <row r="13" spans="1:5" x14ac:dyDescent="0.2">
      <c r="B13" s="90"/>
      <c r="C13" s="3" t="s">
        <v>8</v>
      </c>
      <c r="D13" s="30"/>
    </row>
    <row r="14" spans="1:5" ht="51" x14ac:dyDescent="0.2">
      <c r="B14" s="95" t="s">
        <v>43</v>
      </c>
      <c r="C14" s="13" t="s">
        <v>40</v>
      </c>
      <c r="D14" s="32" t="s">
        <v>62</v>
      </c>
    </row>
    <row r="15" spans="1:5" x14ac:dyDescent="0.2">
      <c r="B15" s="95"/>
      <c r="C15" s="13" t="s">
        <v>49</v>
      </c>
      <c r="D15" s="30"/>
    </row>
    <row r="16" spans="1:5" x14ac:dyDescent="0.2">
      <c r="B16" s="95"/>
      <c r="C16" s="13" t="s">
        <v>42</v>
      </c>
      <c r="D16" s="30"/>
    </row>
    <row r="17" spans="2:4" x14ac:dyDescent="0.2">
      <c r="B17" s="95"/>
      <c r="C17" s="13" t="s">
        <v>50</v>
      </c>
      <c r="D17" s="30"/>
    </row>
    <row r="18" spans="2:4" x14ac:dyDescent="0.2">
      <c r="B18" s="95"/>
      <c r="C18" s="20" t="s">
        <v>51</v>
      </c>
      <c r="D18" s="32" t="s">
        <v>68</v>
      </c>
    </row>
    <row r="19" spans="2:4" x14ac:dyDescent="0.2">
      <c r="B19" s="95"/>
      <c r="C19" s="20" t="s">
        <v>54</v>
      </c>
      <c r="D19" s="30"/>
    </row>
    <row r="20" spans="2:4" x14ac:dyDescent="0.2">
      <c r="B20" s="95"/>
      <c r="C20" s="20" t="s">
        <v>52</v>
      </c>
      <c r="D20" s="30"/>
    </row>
    <row r="21" spans="2:4" x14ac:dyDescent="0.2">
      <c r="B21" s="96" t="s">
        <v>14</v>
      </c>
      <c r="C21" s="15" t="s">
        <v>16</v>
      </c>
      <c r="D21" s="30"/>
    </row>
    <row r="22" spans="2:4" x14ac:dyDescent="0.2">
      <c r="B22" s="90"/>
      <c r="C22" s="15" t="s">
        <v>17</v>
      </c>
      <c r="D22" s="30"/>
    </row>
    <row r="23" spans="2:4" x14ac:dyDescent="0.2">
      <c r="B23" s="97" t="s">
        <v>15</v>
      </c>
      <c r="C23" s="15" t="s">
        <v>16</v>
      </c>
      <c r="D23" s="30"/>
    </row>
    <row r="24" spans="2:4" x14ac:dyDescent="0.2">
      <c r="B24" s="90"/>
      <c r="C24" s="15" t="s">
        <v>17</v>
      </c>
      <c r="D24" s="30"/>
    </row>
    <row r="25" spans="2:4" x14ac:dyDescent="0.2">
      <c r="B25" s="90"/>
      <c r="C25" s="15" t="s">
        <v>18</v>
      </c>
      <c r="D25" s="30"/>
    </row>
    <row r="26" spans="2:4" x14ac:dyDescent="0.2">
      <c r="B26" s="89" t="s">
        <v>19</v>
      </c>
      <c r="C26" s="14" t="s">
        <v>44</v>
      </c>
      <c r="D26" s="30"/>
    </row>
    <row r="27" spans="2:4" x14ac:dyDescent="0.2">
      <c r="B27" s="90"/>
      <c r="C27" s="14" t="s">
        <v>30</v>
      </c>
      <c r="D27" s="30"/>
    </row>
    <row r="28" spans="2:4" x14ac:dyDescent="0.2">
      <c r="B28" s="90"/>
      <c r="C28" s="15" t="s">
        <v>18</v>
      </c>
      <c r="D28" s="30"/>
    </row>
    <row r="29" spans="2:4" x14ac:dyDescent="0.2">
      <c r="B29" s="90"/>
      <c r="C29" s="15" t="s">
        <v>21</v>
      </c>
      <c r="D29" s="30"/>
    </row>
    <row r="30" spans="2:4" x14ac:dyDescent="0.2">
      <c r="B30" s="91" t="s">
        <v>20</v>
      </c>
      <c r="C30" s="14" t="s">
        <v>44</v>
      </c>
      <c r="D30" s="30"/>
    </row>
    <row r="31" spans="2:4" x14ac:dyDescent="0.2">
      <c r="B31" s="90"/>
      <c r="C31" s="15" t="s">
        <v>17</v>
      </c>
      <c r="D31" s="30"/>
    </row>
    <row r="32" spans="2:4" x14ac:dyDescent="0.2">
      <c r="B32" s="90"/>
      <c r="C32" s="15" t="s">
        <v>22</v>
      </c>
      <c r="D32" s="30"/>
    </row>
    <row r="33" spans="2:4" x14ac:dyDescent="0.2">
      <c r="B33" s="72" t="s">
        <v>28</v>
      </c>
      <c r="C33" s="14" t="s">
        <v>44</v>
      </c>
      <c r="D33" s="30"/>
    </row>
    <row r="34" spans="2:4" x14ac:dyDescent="0.2">
      <c r="B34" s="71"/>
      <c r="C34" s="15" t="s">
        <v>30</v>
      </c>
      <c r="D34" s="30"/>
    </row>
    <row r="35" spans="2:4" x14ac:dyDescent="0.2">
      <c r="B35" s="77" t="s">
        <v>29</v>
      </c>
      <c r="C35" s="27" t="s">
        <v>16</v>
      </c>
      <c r="D35" s="30"/>
    </row>
    <row r="36" spans="2:4" x14ac:dyDescent="0.2">
      <c r="B36" s="71"/>
      <c r="C36" s="27" t="s">
        <v>30</v>
      </c>
      <c r="D36" s="30"/>
    </row>
    <row r="37" spans="2:4" x14ac:dyDescent="0.2">
      <c r="B37" s="92" t="s">
        <v>32</v>
      </c>
      <c r="C37" s="15" t="s">
        <v>33</v>
      </c>
      <c r="D37" s="30"/>
    </row>
    <row r="38" spans="2:4" x14ac:dyDescent="0.2">
      <c r="B38" s="92"/>
      <c r="C38" s="15" t="s">
        <v>34</v>
      </c>
      <c r="D38" s="30"/>
    </row>
    <row r="39" spans="2:4" x14ac:dyDescent="0.2">
      <c r="B39" s="92"/>
      <c r="C39" s="14" t="s">
        <v>55</v>
      </c>
      <c r="D39" s="30"/>
    </row>
    <row r="40" spans="2:4" x14ac:dyDescent="0.2">
      <c r="B40" s="92"/>
      <c r="C40" s="15" t="s">
        <v>16</v>
      </c>
      <c r="D40" s="30"/>
    </row>
    <row r="41" spans="2:4" x14ac:dyDescent="0.2">
      <c r="B41" s="92"/>
      <c r="C41" s="15" t="s">
        <v>30</v>
      </c>
      <c r="D41" s="30"/>
    </row>
    <row r="42" spans="2:4" x14ac:dyDescent="0.2">
      <c r="B42" s="92"/>
      <c r="C42" s="15" t="s">
        <v>35</v>
      </c>
      <c r="D42" s="30"/>
    </row>
    <row r="43" spans="2:4" x14ac:dyDescent="0.2">
      <c r="B43" s="92"/>
      <c r="C43" s="14" t="s">
        <v>51</v>
      </c>
      <c r="D43" s="30"/>
    </row>
    <row r="44" spans="2:4" x14ac:dyDescent="0.2">
      <c r="B44" s="92"/>
      <c r="C44" s="14" t="s">
        <v>54</v>
      </c>
      <c r="D44" s="30"/>
    </row>
    <row r="45" spans="2:4" x14ac:dyDescent="0.2">
      <c r="B45" s="92"/>
      <c r="C45" s="14" t="s">
        <v>52</v>
      </c>
      <c r="D45" s="30"/>
    </row>
  </sheetData>
  <mergeCells count="10">
    <mergeCell ref="B7:B8"/>
    <mergeCell ref="B9:B13"/>
    <mergeCell ref="B14:B20"/>
    <mergeCell ref="B21:B22"/>
    <mergeCell ref="B23:B25"/>
    <mergeCell ref="B26:B29"/>
    <mergeCell ref="B30:B32"/>
    <mergeCell ref="B33:B34"/>
    <mergeCell ref="B35:B36"/>
    <mergeCell ref="B37:B45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8A5A1-2B9A-4184-9B52-773120A0C4B4}">
  <dimension ref="D3:F25"/>
  <sheetViews>
    <sheetView workbookViewId="0">
      <selection activeCell="F10" sqref="F10"/>
    </sheetView>
  </sheetViews>
  <sheetFormatPr defaultRowHeight="12.75" x14ac:dyDescent="0.2"/>
  <cols>
    <col min="4" max="4" width="74.5703125" style="52" customWidth="1"/>
  </cols>
  <sheetData>
    <row r="3" spans="4:6" x14ac:dyDescent="0.2">
      <c r="D3" s="59" t="s">
        <v>102</v>
      </c>
    </row>
    <row r="7" spans="4:6" ht="26.25" thickBot="1" x14ac:dyDescent="0.25">
      <c r="D7" s="56" t="s">
        <v>97</v>
      </c>
    </row>
    <row r="8" spans="4:6" ht="13.5" thickBot="1" x14ac:dyDescent="0.25">
      <c r="D8" s="56"/>
      <c r="F8" s="55"/>
    </row>
    <row r="9" spans="4:6" ht="25.5" x14ac:dyDescent="0.2">
      <c r="D9" s="56" t="s">
        <v>103</v>
      </c>
    </row>
    <row r="10" spans="4:6" ht="89.25" x14ac:dyDescent="0.2">
      <c r="D10" s="57" t="s">
        <v>109</v>
      </c>
    </row>
    <row r="11" spans="4:6" ht="25.5" x14ac:dyDescent="0.2">
      <c r="D11" s="57" t="s">
        <v>104</v>
      </c>
    </row>
    <row r="12" spans="4:6" ht="114.75" x14ac:dyDescent="0.2">
      <c r="D12" s="57" t="s">
        <v>110</v>
      </c>
    </row>
    <row r="13" spans="4:6" ht="63.75" x14ac:dyDescent="0.2">
      <c r="D13" s="57" t="s">
        <v>100</v>
      </c>
    </row>
    <row r="14" spans="4:6" ht="25.5" x14ac:dyDescent="0.2">
      <c r="D14" s="57" t="s">
        <v>105</v>
      </c>
    </row>
    <row r="15" spans="4:6" ht="89.25" x14ac:dyDescent="0.2">
      <c r="D15" s="56" t="s">
        <v>111</v>
      </c>
    </row>
    <row r="16" spans="4:6" ht="25.5" x14ac:dyDescent="0.2">
      <c r="D16" s="56" t="s">
        <v>106</v>
      </c>
    </row>
    <row r="17" spans="4:4" ht="102" x14ac:dyDescent="0.2">
      <c r="D17" s="56" t="s">
        <v>112</v>
      </c>
    </row>
    <row r="18" spans="4:4" ht="25.5" x14ac:dyDescent="0.2">
      <c r="D18" s="56" t="s">
        <v>107</v>
      </c>
    </row>
    <row r="19" spans="4:4" ht="102" x14ac:dyDescent="0.2">
      <c r="D19" s="56" t="s">
        <v>113</v>
      </c>
    </row>
    <row r="20" spans="4:4" ht="63.75" x14ac:dyDescent="0.2">
      <c r="D20" s="57" t="s">
        <v>101</v>
      </c>
    </row>
    <row r="21" spans="4:4" ht="25.5" x14ac:dyDescent="0.2">
      <c r="D21" s="57" t="s">
        <v>108</v>
      </c>
    </row>
    <row r="22" spans="4:4" ht="89.25" x14ac:dyDescent="0.2">
      <c r="D22" s="56" t="s">
        <v>114</v>
      </c>
    </row>
    <row r="23" spans="4:4" ht="76.5" x14ac:dyDescent="0.2">
      <c r="D23" s="56" t="s">
        <v>115</v>
      </c>
    </row>
    <row r="24" spans="4:4" ht="25.5" x14ac:dyDescent="0.2">
      <c r="D24" s="57" t="s">
        <v>99</v>
      </c>
    </row>
    <row r="25" spans="4:4" x14ac:dyDescent="0.2">
      <c r="D25" s="58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Cenários</vt:lpstr>
      <vt:lpstr>ICMS</vt:lpstr>
      <vt:lpstr>Premissas</vt:lpstr>
      <vt:lpstr>Funcionalidades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Costa de Andrade</dc:creator>
  <cp:lastModifiedBy>André Costa de Andrade</cp:lastModifiedBy>
  <dcterms:created xsi:type="dcterms:W3CDTF">2025-10-21T17:05:49Z</dcterms:created>
  <dcterms:modified xsi:type="dcterms:W3CDTF">2025-10-23T06:59:49Z</dcterms:modified>
</cp:coreProperties>
</file>